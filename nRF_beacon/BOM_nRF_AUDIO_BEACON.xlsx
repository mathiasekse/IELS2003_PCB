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0" documentId="13_ncr:11_{E152F732-7B99-4F3D-94B7-1DC0F6AE5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cery list" sheetId="1" r:id="rId1"/>
    <sheet name="calculations" sheetId="2" r:id="rId2"/>
  </sheets>
  <definedNames>
    <definedName name="GroceryTotal">calculations!$L$4</definedName>
    <definedName name="_xlnm.Print_Titles" localSheetId="0">'Grocery list'!$4:$4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E6" i="2" l="1" a="1"/>
  <c r="E6" i="2" s="1"/>
  <c r="E7" i="2" l="1" a="1"/>
  <c r="E7" i="2" s="1"/>
  <c r="F6" i="2"/>
  <c r="G6" i="2" s="1"/>
  <c r="L4" i="2"/>
  <c r="M20" i="1" s="1"/>
  <c r="E8" i="2" l="1" a="1"/>
  <c r="E8" i="2" s="1"/>
  <c r="F8" i="2" s="1"/>
  <c r="G8" i="2" s="1"/>
  <c r="F7" i="2"/>
  <c r="G7" i="2" s="1"/>
  <c r="E9" i="2" l="1" a="1"/>
  <c r="E9" i="2" s="1"/>
  <c r="F9" i="2" s="1"/>
  <c r="G9" i="2" s="1"/>
  <c r="E10" i="2" l="1" a="1"/>
  <c r="E10" i="2" s="1"/>
  <c r="E11" i="2" s="1" a="1"/>
  <c r="E11" i="2" s="1"/>
  <c r="F11" i="2" s="1"/>
  <c r="G11" i="2" s="1"/>
  <c r="E12" i="2" l="1" a="1"/>
  <c r="E12" i="2" s="1"/>
  <c r="F12" i="2" s="1"/>
  <c r="G12" i="2" s="1"/>
  <c r="F10" i="2"/>
  <c r="G10" i="2" s="1"/>
  <c r="E13" i="2" l="1" a="1"/>
  <c r="E13" i="2" s="1"/>
  <c r="F13" i="2" s="1"/>
  <c r="G13" i="2" s="1"/>
  <c r="E14" i="2" l="1" a="1"/>
  <c r="E14" i="2" s="1"/>
  <c r="F14" i="2" s="1"/>
  <c r="G14" i="2" s="1"/>
  <c r="E15" i="2" l="1" a="1"/>
  <c r="E15" i="2" s="1"/>
  <c r="F15" i="2" s="1"/>
  <c r="G15" i="2" s="1"/>
  <c r="E16" i="2" l="1" a="1"/>
  <c r="E16" i="2" s="1"/>
  <c r="F16" i="2" s="1"/>
  <c r="G16" i="2" s="1"/>
  <c r="E17" i="2" l="1" a="1"/>
  <c r="E17" i="2" s="1"/>
  <c r="F17" i="2" s="1"/>
  <c r="G17" i="2" s="1"/>
  <c r="E18" i="2" l="1" a="1"/>
  <c r="E18" i="2" s="1"/>
  <c r="F18" i="2" s="1"/>
  <c r="G18" i="2" s="1"/>
  <c r="E19" i="2" l="1" a="1"/>
  <c r="E19" i="2" s="1"/>
  <c r="F19" i="2" s="1"/>
  <c r="G19" i="2" s="1"/>
  <c r="E20" i="2" l="1" a="1"/>
  <c r="E20" i="2" s="1"/>
  <c r="F20" i="2" s="1"/>
  <c r="G20" i="2" s="1"/>
  <c r="E21" i="2" l="1" a="1"/>
  <c r="E21" i="2" s="1"/>
  <c r="F21" i="2" s="1"/>
  <c r="G21" i="2" s="1"/>
  <c r="H11" i="2" s="1"/>
  <c r="I11" i="2" s="1"/>
  <c r="J11" i="2" l="1"/>
  <c r="M11" i="2" s="1"/>
  <c r="K11" i="2"/>
  <c r="H9" i="2"/>
  <c r="I9" i="2" s="1"/>
  <c r="K9" i="2" s="1"/>
  <c r="H10" i="2"/>
  <c r="I10" i="2" s="1"/>
  <c r="H6" i="2"/>
  <c r="I6" i="2" s="1"/>
  <c r="K6" i="2" s="1"/>
  <c r="H8" i="2"/>
  <c r="I8" i="2" s="1"/>
  <c r="J8" i="2" s="1"/>
  <c r="H7" i="2"/>
  <c r="I7" i="2" s="1"/>
  <c r="K7" i="2" s="1"/>
  <c r="L11" i="2" l="1"/>
  <c r="J9" i="2"/>
  <c r="M9" i="2" s="1"/>
  <c r="L9" i="2" s="1"/>
  <c r="M14" i="1" s="1"/>
  <c r="J10" i="2"/>
  <c r="M10" i="2" s="1"/>
  <c r="K10" i="2"/>
  <c r="M8" i="2"/>
  <c r="J6" i="2"/>
  <c r="J7" i="2"/>
  <c r="K8" i="2"/>
  <c r="K3" i="2" s="1"/>
  <c r="L1" i="1" l="1"/>
  <c r="L8" i="2"/>
  <c r="M11" i="1" s="1"/>
  <c r="L10" i="2"/>
  <c r="M17" i="1" s="1"/>
  <c r="M16" i="1"/>
  <c r="M13" i="1"/>
  <c r="M10" i="1"/>
  <c r="M7" i="2"/>
  <c r="M6" i="2"/>
  <c r="M4" i="1" s="1"/>
  <c r="L3" i="2"/>
  <c r="L6" i="2" l="1"/>
  <c r="M5" i="1" s="1"/>
  <c r="M7" i="1"/>
  <c r="L7" i="2"/>
  <c r="M8" i="1" s="1"/>
</calcChain>
</file>

<file path=xl/sharedStrings.xml><?xml version="1.0" encoding="utf-8"?>
<sst xmlns="http://schemas.openxmlformats.org/spreadsheetml/2006/main" count="217" uniqueCount="142">
  <si>
    <t>DONE</t>
  </si>
  <si>
    <t>QTY</t>
  </si>
  <si>
    <t>UNIT PRICE</t>
  </si>
  <si>
    <t>TOTAL</t>
  </si>
  <si>
    <t>COMMENT</t>
  </si>
  <si>
    <t>***  Sheet to remain hidden ***</t>
  </si>
  <si>
    <t>OTHER TOTAL</t>
  </si>
  <si>
    <t xml:space="preserve"> </t>
  </si>
  <si>
    <t>Part Number</t>
  </si>
  <si>
    <t>Component type</t>
  </si>
  <si>
    <t>BOM</t>
  </si>
  <si>
    <t>GRM033D80E225ME47D</t>
  </si>
  <si>
    <t>KGM05CS60J106MH</t>
  </si>
  <si>
    <t>GRM033R70J103JA01D</t>
  </si>
  <si>
    <t>KGM03AR70J104KH</t>
  </si>
  <si>
    <t>GRM033R71A222KA01D</t>
  </si>
  <si>
    <t>GCQ0335C1H3R9CB01D</t>
  </si>
  <si>
    <t>GJM0335C1E1R5WB01J</t>
  </si>
  <si>
    <t>GJM0335C1E2R0WB01D</t>
  </si>
  <si>
    <t>GCQ0335C1HR30BB01D</t>
  </si>
  <si>
    <t>KGM15CR51E106KT</t>
  </si>
  <si>
    <t>GRM188Z71C225KE43D</t>
  </si>
  <si>
    <t>KGM03BR51E104KH</t>
  </si>
  <si>
    <t>C0603C221J5RACTM</t>
  </si>
  <si>
    <t>GCQ0335C1H1R4WB01D</t>
  </si>
  <si>
    <t>APGF1012GBRC-07</t>
  </si>
  <si>
    <t>MMZ0603Y121CT000</t>
  </si>
  <si>
    <t>BLM21SP102SN1D</t>
  </si>
  <si>
    <t>FTSH-105-01-F-DV-K-P</t>
  </si>
  <si>
    <t>LQM18PN4R7MFRL</t>
  </si>
  <si>
    <t>LQP03HQ2N7B02D</t>
  </si>
  <si>
    <t>LQP03HQ3N5B02D</t>
  </si>
  <si>
    <t>MLP2016V2R2MT0S1</t>
  </si>
  <si>
    <t>AS07104PO-R</t>
  </si>
  <si>
    <t>CRCW0603634KDHTAP</t>
  </si>
  <si>
    <t>RCA02011K00FNEDSR</t>
  </si>
  <si>
    <t>CRCW040210K0FHEDP</t>
  </si>
  <si>
    <t>CRCW0201150KFKED</t>
  </si>
  <si>
    <t>NRF54L15-QFAA-R7</t>
  </si>
  <si>
    <t>NPM1300-QEAA-R7</t>
  </si>
  <si>
    <t>MAX98357AETE+T</t>
  </si>
  <si>
    <t>12BHC186P1-GR</t>
  </si>
  <si>
    <t>CX2016DB32000D0WZRC1</t>
  </si>
  <si>
    <t>CM8V-T1A-32.768kHz-9pF-20PPM-TB-QC</t>
  </si>
  <si>
    <t>Reference Designator</t>
  </si>
  <si>
    <t>C1,C6</t>
  </si>
  <si>
    <t>C2</t>
  </si>
  <si>
    <t>C3</t>
  </si>
  <si>
    <t>C4,C8,C9,C10</t>
  </si>
  <si>
    <t>C5</t>
  </si>
  <si>
    <t>C7</t>
  </si>
  <si>
    <t>C11</t>
  </si>
  <si>
    <t>C12</t>
  </si>
  <si>
    <t>C13</t>
  </si>
  <si>
    <t>C14,C16,C17,C23,C24,C25</t>
  </si>
  <si>
    <t>C15</t>
  </si>
  <si>
    <t>C18,C21,C22</t>
  </si>
  <si>
    <t>C19,C20</t>
  </si>
  <si>
    <t>C26</t>
  </si>
  <si>
    <t>D1</t>
  </si>
  <si>
    <t>FB1</t>
  </si>
  <si>
    <t>FB2,FB3</t>
  </si>
  <si>
    <t>J1</t>
  </si>
  <si>
    <t>J2</t>
  </si>
  <si>
    <t>L1</t>
  </si>
  <si>
    <t>L2</t>
  </si>
  <si>
    <t>L3,L4</t>
  </si>
  <si>
    <t>L5,L6</t>
  </si>
  <si>
    <t>LS1</t>
  </si>
  <si>
    <t>R1</t>
  </si>
  <si>
    <t>R2</t>
  </si>
  <si>
    <t>R3,R4</t>
  </si>
  <si>
    <t>R5,R6</t>
  </si>
  <si>
    <t>U1</t>
  </si>
  <si>
    <t>U2</t>
  </si>
  <si>
    <t>U3</t>
  </si>
  <si>
    <t>U4</t>
  </si>
  <si>
    <t>X1</t>
  </si>
  <si>
    <t>X2</t>
  </si>
  <si>
    <t>Kondensator</t>
  </si>
  <si>
    <t>LED</t>
  </si>
  <si>
    <t>PASSIVE</t>
  </si>
  <si>
    <t>CONNECTOR</t>
  </si>
  <si>
    <t>SPEAKER</t>
  </si>
  <si>
    <t>IC</t>
  </si>
  <si>
    <t>Value</t>
  </si>
  <si>
    <t>LED_RGBA</t>
  </si>
  <si>
    <t>Conn_02x05_Odd_Even</t>
  </si>
  <si>
    <t>Conn_02x03_Counter_Clockwise</t>
  </si>
  <si>
    <t>4.7uH</t>
  </si>
  <si>
    <t>2.7nH</t>
  </si>
  <si>
    <t>3.5nH</t>
  </si>
  <si>
    <t>2.2uH</t>
  </si>
  <si>
    <t>634k</t>
  </si>
  <si>
    <t>1k</t>
  </si>
  <si>
    <t>10k</t>
  </si>
  <si>
    <t>150k</t>
  </si>
  <si>
    <t>nRF54L15-QFAA</t>
  </si>
  <si>
    <t>MAX98357A</t>
  </si>
  <si>
    <t>32MHz</t>
  </si>
  <si>
    <t>32.768 kHz</t>
  </si>
  <si>
    <t>2.2 uF</t>
  </si>
  <si>
    <t>10 uF</t>
  </si>
  <si>
    <t>10 nF</t>
  </si>
  <si>
    <t>100 nF</t>
  </si>
  <si>
    <t>2.2 nF</t>
  </si>
  <si>
    <t>3.9 pF</t>
  </si>
  <si>
    <t>1.5 pF</t>
  </si>
  <si>
    <t>2.0 pF</t>
  </si>
  <si>
    <t>0.3 pF</t>
  </si>
  <si>
    <t>0.1 uF</t>
  </si>
  <si>
    <t>220 pF</t>
  </si>
  <si>
    <t>1.4 pF</t>
  </si>
  <si>
    <t>Footprint size</t>
  </si>
  <si>
    <t>0201</t>
  </si>
  <si>
    <t>0402</t>
  </si>
  <si>
    <t>0603</t>
  </si>
  <si>
    <t>1012</t>
  </si>
  <si>
    <t>0805</t>
  </si>
  <si>
    <t>105</t>
  </si>
  <si>
    <t>P2.54mm</t>
  </si>
  <si>
    <t>2016</t>
  </si>
  <si>
    <t>6x6mm P0.4mm</t>
  </si>
  <si>
    <t>5x5mm P0.5mm</t>
  </si>
  <si>
    <t>3x3mm P0.5mm</t>
  </si>
  <si>
    <t>12</t>
  </si>
  <si>
    <t>2012-2Pin</t>
  </si>
  <si>
    <t>COMPONENTS TOTAL</t>
  </si>
  <si>
    <t>nRF54 BLE BEACON</t>
  </si>
  <si>
    <t>Prosjektgruppe 15</t>
  </si>
  <si>
    <t>71x41x25mm</t>
  </si>
  <si>
    <t>Batteriholder</t>
  </si>
  <si>
    <t>BATTERY HOLDER</t>
  </si>
  <si>
    <t>Høyttaler</t>
  </si>
  <si>
    <t>Krystall</t>
  </si>
  <si>
    <t>MCU</t>
  </si>
  <si>
    <t>PMIC</t>
  </si>
  <si>
    <t>Audio DAC + Forsterker</t>
  </si>
  <si>
    <t>Resistor</t>
  </si>
  <si>
    <t>Spole</t>
  </si>
  <si>
    <t>Konnektor</t>
  </si>
  <si>
    <t>Ferrite Bead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</si>
</sst>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&quot;$&quot;#,##0.00"/>
    <numFmt numFmtId="170" formatCode="&quot; Done&quot;;&quot;&quot;;&quot;&quot;"/>
    <numFmt numFmtId="171" formatCode=";;;"/>
    <numFmt numFmtId="172" formatCode="_-[$kr-414]\ * #,##0.00_-;\-[$kr-414]\ * #,##0.00_-;_-[$kr-414]\ * &quot;-&quot;??_-;_-@_-"/>
  </numFmts>
  <fonts count="24" x14ac:knownFonts="1">
    <font>
      <sz val="11"/>
      <color theme="3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36"/>
      <color theme="8"/>
      <name val="Meiryo"/>
      <family val="2"/>
      <scheme val="major"/>
    </font>
    <font>
      <b/>
      <sz val="13"/>
      <color theme="3"/>
      <name val="Malgun Gothic"/>
      <family val="2"/>
      <scheme val="minor"/>
    </font>
    <font>
      <b/>
      <sz val="11"/>
      <color theme="3"/>
      <name val="Malgun Gothic"/>
      <family val="2"/>
      <scheme val="minor"/>
    </font>
    <font>
      <b/>
      <sz val="11"/>
      <color theme="1"/>
      <name val="Malgun Gothic"/>
      <family val="2"/>
      <scheme val="minor"/>
    </font>
    <font>
      <sz val="11"/>
      <color theme="3"/>
      <name val="Malgun Gothic"/>
      <family val="2"/>
      <scheme val="minor"/>
    </font>
    <font>
      <i/>
      <sz val="11"/>
      <color theme="1" tint="0.34998626667073579"/>
      <name val="Malgun Gothic"/>
      <family val="2"/>
      <scheme val="minor"/>
    </font>
    <font>
      <sz val="11"/>
      <color theme="8" tint="0.89992980742820516"/>
      <name val="Malgun Gothic"/>
      <family val="2"/>
      <scheme val="minor"/>
    </font>
    <font>
      <sz val="11"/>
      <color theme="3"/>
      <name val="Meiryo"/>
      <family val="2"/>
      <scheme val="major"/>
    </font>
    <font>
      <sz val="36"/>
      <color theme="8"/>
      <name val="Malgun Gothic"/>
      <family val="2"/>
      <scheme val="minor"/>
    </font>
    <font>
      <sz val="28"/>
      <color theme="8"/>
      <name val="Malgun Gothic"/>
      <family val="2"/>
      <scheme val="minor"/>
    </font>
    <font>
      <b/>
      <sz val="22"/>
      <color theme="3" tint="9.9978637043366805E-2"/>
      <name val="Meiryo"/>
      <family val="2"/>
      <charset val="128"/>
      <scheme val="major"/>
    </font>
    <font>
      <b/>
      <sz val="11"/>
      <color theme="1"/>
      <name val="Meiryo"/>
      <family val="2"/>
      <charset val="128"/>
      <scheme val="major"/>
    </font>
    <font>
      <b/>
      <sz val="20"/>
      <color theme="3"/>
      <name val="Meiryo"/>
      <family val="2"/>
      <charset val="128"/>
      <scheme val="major"/>
    </font>
    <font>
      <b/>
      <sz val="11"/>
      <color theme="3" tint="0.59999389629810485"/>
      <name val="Meiryo"/>
      <family val="2"/>
      <charset val="128"/>
      <scheme val="major"/>
    </font>
    <font>
      <b/>
      <sz val="20"/>
      <color theme="1"/>
      <name val="Meiryo"/>
      <family val="2"/>
      <charset val="128"/>
      <scheme val="major"/>
    </font>
    <font>
      <sz val="36"/>
      <color theme="1"/>
      <name val="Malgun Gothic"/>
      <family val="2"/>
      <scheme val="minor"/>
    </font>
    <font>
      <b/>
      <sz val="36"/>
      <color rgb="FF002060"/>
      <name val="Meiryo"/>
      <family val="2"/>
      <charset val="128"/>
      <scheme val="major"/>
    </font>
    <font>
      <sz val="36"/>
      <color theme="7" tint="0.39997558519241921"/>
      <name val="Malgun Gothic"/>
      <family val="2"/>
      <scheme val="minor"/>
    </font>
    <font>
      <sz val="36"/>
      <color rgb="FF00B0F0"/>
      <name val="Malgun Gothic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</borders>
  <cellStyleXfs count="18">
    <xf numFmtId="0" fontId="0" fillId="0" borderId="0" applyNumberFormat="0" applyFill="0" applyBorder="0" applyAlignment="0" applyProtection="0"/>
    <xf numFmtId="168" fontId="4" fillId="0" borderId="0" applyFont="0" applyFill="0" applyBorder="0" applyProtection="0">
      <alignment horizontal="right"/>
    </xf>
    <xf numFmtId="0" fontId="5" fillId="0" borderId="0" applyNumberFormat="0" applyFill="0" applyBorder="0" applyProtection="0"/>
    <xf numFmtId="0" fontId="12" fillId="0" borderId="0" applyNumberFormat="0" applyFill="0" applyBorder="0" applyAlignment="0" applyProtection="0"/>
    <xf numFmtId="0" fontId="7" fillId="0" borderId="0" applyNumberFormat="0" applyFill="0" applyBorder="0" applyProtection="0">
      <alignment horizontal="left"/>
    </xf>
    <xf numFmtId="0" fontId="9" fillId="3" borderId="0" applyNumberFormat="0" applyBorder="0" applyAlignment="0" applyProtection="0"/>
    <xf numFmtId="0" fontId="11" fillId="2" borderId="0" applyNumberFormat="0" applyBorder="0" applyAlignment="0" applyProtection="0"/>
    <xf numFmtId="0" fontId="9" fillId="0" borderId="0" applyNumberFormat="0" applyFill="0" applyBorder="0" applyProtection="0">
      <alignment horizontal="left" indent="1"/>
    </xf>
    <xf numFmtId="167" fontId="9" fillId="0" borderId="0" applyFill="0" applyBorder="0" applyAlignment="0" applyProtection="0"/>
    <xf numFmtId="165" fontId="9" fillId="0" borderId="0" applyFill="0" applyBorder="0" applyAlignment="0" applyProtection="0"/>
    <xf numFmtId="166" fontId="9" fillId="0" borderId="0" applyFill="0" applyBorder="0" applyAlignment="0" applyProtection="0"/>
    <xf numFmtId="164" fontId="9" fillId="0" borderId="0" applyFill="0" applyBorder="0" applyAlignment="0" applyProtection="0"/>
    <xf numFmtId="9" fontId="9" fillId="0" borderId="0" applyFill="0" applyBorder="0" applyAlignment="0" applyProtection="0"/>
    <xf numFmtId="0" fontId="6" fillId="0" borderId="3" applyNumberFormat="0" applyFill="0" applyAlignment="0" applyProtection="0"/>
    <xf numFmtId="0" fontId="7" fillId="0" borderId="2" applyNumberFormat="0" applyFill="0" applyAlignment="0" applyProtection="0"/>
    <xf numFmtId="0" fontId="9" fillId="5" borderId="1" applyNumberFormat="0" applyAlignment="0" applyProtection="0"/>
    <xf numFmtId="0" fontId="10" fillId="0" borderId="0" applyNumberFormat="0" applyFill="0" applyBorder="0" applyAlignment="0" applyProtection="0"/>
    <xf numFmtId="0" fontId="8" fillId="0" borderId="4" applyNumberFormat="0" applyFill="0" applyAlignment="0" applyProtection="0"/>
  </cellStyleXfs>
  <cellXfs count="53">
    <xf numFmtId="0" fontId="0" fillId="0" borderId="0" xfId="0"/>
    <xf numFmtId="0" fontId="9" fillId="0" borderId="0" xfId="6" applyFont="1" applyFill="1" applyAlignment="1"/>
    <xf numFmtId="0" fontId="9" fillId="0" borderId="0" xfId="6" applyFont="1" applyFill="1" applyAlignment="1">
      <alignment horizontal="left"/>
    </xf>
    <xf numFmtId="0" fontId="9" fillId="0" borderId="0" xfId="0" applyFont="1" applyFill="1"/>
    <xf numFmtId="0" fontId="9" fillId="8" borderId="0" xfId="6" applyFont="1" applyFill="1" applyAlignment="1">
      <alignment horizontal="left"/>
    </xf>
    <xf numFmtId="0" fontId="13" fillId="0" borderId="0" xfId="2" applyFont="1" applyFill="1"/>
    <xf numFmtId="0" fontId="14" fillId="0" borderId="0" xfId="5" applyFont="1" applyFill="1" applyAlignment="1">
      <alignment horizontal="left"/>
    </xf>
    <xf numFmtId="0" fontId="13" fillId="0" borderId="0" xfId="5" applyFont="1" applyFill="1" applyAlignment="1">
      <alignment horizontal="left"/>
    </xf>
    <xf numFmtId="0" fontId="9" fillId="0" borderId="0" xfId="5" applyFill="1" applyAlignment="1">
      <alignment vertical="center"/>
    </xf>
    <xf numFmtId="0" fontId="9" fillId="0" borderId="0" xfId="0" applyFont="1" applyFill="1" applyAlignment="1">
      <alignment horizontal="left" vertical="center" indent="1"/>
    </xf>
    <xf numFmtId="0" fontId="9" fillId="0" borderId="0" xfId="5" applyFill="1" applyAlignment="1">
      <alignment horizontal="left" vertical="center"/>
    </xf>
    <xf numFmtId="0" fontId="9" fillId="0" borderId="0" xfId="0" applyFont="1" applyFill="1" applyAlignment="1">
      <alignment vertical="center"/>
    </xf>
    <xf numFmtId="170" fontId="3" fillId="0" borderId="0" xfId="0" applyNumberFormat="1" applyFont="1" applyFill="1" applyAlignment="1">
      <alignment horizontal="left" vertical="center"/>
    </xf>
    <xf numFmtId="0" fontId="9" fillId="0" borderId="0" xfId="5" applyFill="1"/>
    <xf numFmtId="0" fontId="9" fillId="0" borderId="0" xfId="5" applyFill="1" applyAlignment="1">
      <alignment horizontal="left"/>
    </xf>
    <xf numFmtId="171" fontId="15" fillId="0" borderId="0" xfId="0" applyNumberFormat="1" applyFont="1" applyFill="1" applyAlignment="1">
      <alignment horizontal="left"/>
    </xf>
    <xf numFmtId="171" fontId="16" fillId="0" borderId="0" xfId="0" applyNumberFormat="1" applyFont="1" applyFill="1" applyAlignment="1">
      <alignment horizontal="left"/>
    </xf>
    <xf numFmtId="171" fontId="16" fillId="8" borderId="0" xfId="0" applyNumberFormat="1" applyFont="1" applyFill="1" applyAlignment="1">
      <alignment horizontal="left"/>
    </xf>
    <xf numFmtId="0" fontId="18" fillId="0" borderId="0" xfId="0" applyFont="1" applyFill="1" applyAlignment="1">
      <alignment horizontal="left"/>
    </xf>
    <xf numFmtId="0" fontId="0" fillId="4" borderId="0" xfId="0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Alignment="1">
      <alignment horizontal="left" vertical="center"/>
    </xf>
    <xf numFmtId="170" fontId="1" fillId="0" borderId="0" xfId="0" applyNumberFormat="1" applyFont="1" applyFill="1" applyAlignment="1">
      <alignment horizontal="left" vertical="center"/>
    </xf>
    <xf numFmtId="0" fontId="1" fillId="0" borderId="0" xfId="4" applyFont="1" applyFill="1" applyAlignment="1">
      <alignment horizontal="left" vertical="center" indent="1"/>
    </xf>
    <xf numFmtId="0" fontId="1" fillId="0" borderId="0" xfId="5" applyFont="1" applyFill="1" applyAlignment="1">
      <alignment horizontal="left" vertical="center" indent="1"/>
    </xf>
    <xf numFmtId="168" fontId="1" fillId="0" borderId="0" xfId="1" applyFont="1" applyFill="1" applyAlignment="1">
      <alignment horizontal="left" vertical="center" indent="1"/>
    </xf>
    <xf numFmtId="168" fontId="8" fillId="0" borderId="0" xfId="1" applyNumberFormat="1" applyFont="1" applyFill="1" applyAlignment="1">
      <alignment horizontal="left" vertical="center" indent="1"/>
    </xf>
    <xf numFmtId="0" fontId="1" fillId="0" borderId="0" xfId="7" applyFont="1" applyFill="1" applyAlignment="1">
      <alignment horizontal="left" vertical="center" indent="1"/>
    </xf>
    <xf numFmtId="49" fontId="0" fillId="0" borderId="0" xfId="0" applyNumberFormat="1"/>
    <xf numFmtId="172" fontId="0" fillId="0" borderId="0" xfId="0" applyNumberFormat="1"/>
    <xf numFmtId="172" fontId="8" fillId="0" borderId="0" xfId="1" applyNumberFormat="1" applyFont="1" applyFill="1" applyAlignment="1">
      <alignment horizontal="left" vertical="center" indent="1"/>
    </xf>
    <xf numFmtId="172" fontId="0" fillId="0" borderId="0" xfId="1" applyNumberFormat="1" applyFont="1">
      <alignment horizontal="right"/>
    </xf>
    <xf numFmtId="172" fontId="2" fillId="0" borderId="0" xfId="0" applyNumberFormat="1" applyFont="1" applyFill="1" applyAlignment="1">
      <alignment horizontal="left"/>
    </xf>
    <xf numFmtId="172" fontId="20" fillId="0" borderId="0" xfId="2" applyNumberFormat="1" applyFont="1" applyFill="1" applyAlignment="1">
      <alignment horizontal="left"/>
    </xf>
    <xf numFmtId="172" fontId="17" fillId="7" borderId="0" xfId="0" applyNumberFormat="1" applyFont="1" applyFill="1" applyBorder="1" applyAlignment="1">
      <alignment horizontal="left" indent="1"/>
    </xf>
    <xf numFmtId="172" fontId="16" fillId="0" borderId="0" xfId="0" applyNumberFormat="1" applyFont="1" applyFill="1" applyAlignment="1">
      <alignment horizontal="left" indent="1"/>
    </xf>
    <xf numFmtId="172" fontId="17" fillId="6" borderId="0" xfId="0" applyNumberFormat="1" applyFont="1" applyFill="1" applyAlignment="1">
      <alignment horizontal="left" indent="1"/>
    </xf>
    <xf numFmtId="172" fontId="17" fillId="10" borderId="0" xfId="0" applyNumberFormat="1" applyFont="1" applyFill="1" applyAlignment="1">
      <alignment horizontal="left" indent="1"/>
    </xf>
    <xf numFmtId="172" fontId="17" fillId="8" borderId="0" xfId="0" applyNumberFormat="1" applyFont="1" applyFill="1" applyAlignment="1">
      <alignment horizontal="left" indent="1"/>
    </xf>
    <xf numFmtId="172" fontId="17" fillId="9" borderId="0" xfId="0" applyNumberFormat="1" applyFont="1" applyFill="1" applyAlignment="1">
      <alignment horizontal="left" indent="1"/>
    </xf>
    <xf numFmtId="172" fontId="19" fillId="4" borderId="0" xfId="0" applyNumberFormat="1" applyFont="1" applyFill="1" applyBorder="1" applyAlignment="1">
      <alignment horizontal="left" indent="1"/>
    </xf>
    <xf numFmtId="172" fontId="18" fillId="0" borderId="0" xfId="0" applyNumberFormat="1" applyFont="1" applyFill="1" applyAlignment="1">
      <alignment horizontal="left" vertical="center"/>
    </xf>
    <xf numFmtId="172" fontId="18" fillId="0" borderId="0" xfId="0" applyNumberFormat="1" applyFont="1" applyFill="1" applyAlignment="1">
      <alignment horizontal="left"/>
    </xf>
    <xf numFmtId="0" fontId="21" fillId="0" borderId="0" xfId="5" applyFont="1" applyFill="1" applyAlignment="1">
      <alignment horizontal="left"/>
    </xf>
    <xf numFmtId="172" fontId="19" fillId="7" borderId="0" xfId="0" applyNumberFormat="1" applyFont="1" applyFill="1" applyAlignment="1">
      <alignment horizontal="left" indent="1"/>
    </xf>
    <xf numFmtId="172" fontId="19" fillId="6" borderId="0" xfId="0" applyNumberFormat="1" applyFont="1" applyFill="1" applyAlignment="1">
      <alignment horizontal="left" indent="1"/>
    </xf>
    <xf numFmtId="172" fontId="19" fillId="10" borderId="0" xfId="0" applyNumberFormat="1" applyFont="1" applyFill="1" applyAlignment="1">
      <alignment horizontal="left" indent="1"/>
    </xf>
    <xf numFmtId="172" fontId="19" fillId="8" borderId="0" xfId="0" applyNumberFormat="1" applyFont="1" applyFill="1" applyAlignment="1">
      <alignment horizontal="left" indent="1"/>
    </xf>
    <xf numFmtId="172" fontId="19" fillId="9" borderId="0" xfId="0" applyNumberFormat="1" applyFont="1" applyFill="1" applyAlignment="1">
      <alignment horizontal="left" indent="1"/>
    </xf>
    <xf numFmtId="0" fontId="22" fillId="0" borderId="0" xfId="5" applyFont="1" applyFill="1" applyAlignment="1">
      <alignment horizontal="left"/>
    </xf>
    <xf numFmtId="0" fontId="23" fillId="0" borderId="0" xfId="5" applyFont="1" applyFill="1" applyAlignment="1">
      <alignment horizontal="left"/>
    </xf>
  </cellXfs>
  <cellStyles count="18">
    <cellStyle name="Comma" xfId="8" builtinId="3" customBuiltin="1"/>
    <cellStyle name="Comma [0]" xfId="9" builtinId="6" customBuiltin="1"/>
    <cellStyle name="Currency" xfId="10" builtinId="4" customBuiltin="1"/>
    <cellStyle name="Currency [0]" xfId="11" builtinId="7" customBuiltin="1"/>
    <cellStyle name="Currency Custom" xfId="1" xr:uid="{00000000-0005-0000-0000-000004000000}"/>
    <cellStyle name="Explanatory Text" xfId="16" builtinId="53" customBuiltin="1"/>
    <cellStyle name="Heading 1" xfId="2" builtinId="16" customBuiltin="1"/>
    <cellStyle name="Heading 2" xfId="13" builtinId="17" customBuiltin="1"/>
    <cellStyle name="Heading 3" xfId="14" builtinId="18" customBuiltin="1"/>
    <cellStyle name="Indent" xfId="7" xr:uid="{00000000-0005-0000-0000-000009000000}"/>
    <cellStyle name="Item" xfId="4" xr:uid="{00000000-0005-0000-0000-00000A000000}"/>
    <cellStyle name="Normal" xfId="0" builtinId="0" customBuiltin="1"/>
    <cellStyle name="Note" xfId="15" builtinId="10" customBuiltin="1"/>
    <cellStyle name="Percent" xfId="12" builtinId="5" customBuiltin="1"/>
    <cellStyle name="Purple Background" xfId="6" xr:uid="{00000000-0005-0000-0000-00000E000000}"/>
    <cellStyle name="Table Headers" xfId="3" xr:uid="{00000000-0005-0000-0000-00000F000000}"/>
    <cellStyle name="Total" xfId="17" builtinId="25" customBuiltin="1"/>
    <cellStyle name="White Background" xfId="5" xr:uid="{00000000-0005-0000-0000-000011000000}"/>
  </cellStyles>
  <dxfs count="15">
    <dxf>
      <font>
        <b/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72" formatCode="_-[$kr-414]\ * #,##0.00_-;\-[$kr-414]\ * #,##0.00_-;_-[$kr-414]\ * &quot;-&quot;??_-;_-@_-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72" formatCode="_-[$kr-414]\ * #,##0.00_-;\-[$kr-414]\ * #,##0.00_-;_-[$kr-414]\ * &quot;-&quot;??_-;_-@_-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70" formatCode="&quot; Done&quot;;&quot;&quot;;&quot;&quot;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70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Malgun Gothic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Grocery List" defaultPivotStyle="PivotStyleLight8">
    <tableStyle name="Grocery List" pivot="0" count="3" xr9:uid="{00000000-0011-0000-FFFF-FFFF00000000}">
      <tableStyleElement type="wholeTable" dxfId="14"/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12</xdr:col>
      <xdr:colOff>54429</xdr:colOff>
      <xdr:row>2</xdr:row>
      <xdr:rowOff>0</xdr:rowOff>
    </xdr:to>
    <xdr:pic>
      <xdr:nvPicPr>
        <xdr:cNvPr id="3" name="Graphic 2" descr="CPU with binary numbers and blueprint">
          <a:extLst>
            <a:ext uri="{FF2B5EF4-FFF2-40B4-BE49-F238E27FC236}">
              <a16:creationId xmlns:a16="http://schemas.microsoft.com/office/drawing/2014/main" id="{B437528B-4FDB-F4AA-F444-6B875FB0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54" b="38554"/>
        <a:stretch/>
      </xdr:blipFill>
      <xdr:spPr>
        <a:xfrm>
          <a:off x="244929" y="260803"/>
          <a:ext cx="19743964" cy="21340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B4:K38" totalsRowShown="0" headerRowDxfId="11" dataDxfId="10" headerRowCellStyle="Normal" dataCellStyle="White Background">
  <autoFilter ref="B4:K3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000-000001000000}" name="DONE" dataDxfId="9" dataCellStyle="Normal"/>
    <tableColumn id="10" xr3:uid="{D085E51A-69E2-43C6-A700-9040E7DC2316}" name="Reference Designator" dataDxfId="3"/>
    <tableColumn id="2" xr3:uid="{00000000-0010-0000-0000-000002000000}" name="Part Number" dataDxfId="8" dataCellStyle="Item"/>
    <tableColumn id="9" xr3:uid="{00000000-0010-0000-0000-000009000000}" name="Value" dataDxfId="7" dataCellStyle="White Background"/>
    <tableColumn id="3" xr3:uid="{00000000-0010-0000-0000-000003000000}" name="Component type" dataDxfId="6" dataCellStyle="White Background"/>
    <tableColumn id="4" xr3:uid="{00000000-0010-0000-0000-000004000000}" name="QTY" dataDxfId="5" dataCellStyle="White Background"/>
    <tableColumn id="8" xr3:uid="{00000000-0010-0000-0000-000008000000}" name="Footprint size" dataDxfId="2" dataCellStyle="White Background"/>
    <tableColumn id="5" xr3:uid="{00000000-0010-0000-0000-000005000000}" name="UNIT PRICE" dataDxfId="1" dataCellStyle="Currency Custom"/>
    <tableColumn id="6" xr3:uid="{00000000-0010-0000-0000-000006000000}" name="TOTAL" dataDxfId="0" dataCellStyle="Currency Custom">
      <calculatedColumnFormula>List[[#This Row],[QTY]]*List[[#This Row],[UNIT PRICE]]</calculatedColumnFormula>
    </tableColumn>
    <tableColumn id="7" xr3:uid="{00000000-0010-0000-0000-000007000000}" name="COMMENT" dataDxfId="4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TM03427477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F6792A"/>
      </a:accent1>
      <a:accent2>
        <a:srgbClr val="F3E23B"/>
      </a:accent2>
      <a:accent3>
        <a:srgbClr val="C6265D"/>
      </a:accent3>
      <a:accent4>
        <a:srgbClr val="1D6759"/>
      </a:accent4>
      <a:accent5>
        <a:srgbClr val="E33A2C"/>
      </a:accent5>
      <a:accent6>
        <a:srgbClr val="F5ECD3"/>
      </a:accent6>
      <a:hlink>
        <a:srgbClr val="467886"/>
      </a:hlink>
      <a:folHlink>
        <a:srgbClr val="96607D"/>
      </a:folHlink>
    </a:clrScheme>
    <a:fontScheme name="Custom 42">
      <a:majorFont>
        <a:latin typeface="Meiryo"/>
        <a:ea typeface=""/>
        <a:cs typeface=""/>
      </a:majorFont>
      <a:minorFont>
        <a:latin typeface="Malgun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N40"/>
  <sheetViews>
    <sheetView showGridLines="0" tabSelected="1" topLeftCell="B3" zoomScaleNormal="100" workbookViewId="0">
      <selection activeCell="B3" sqref="B3"/>
    </sheetView>
  </sheetViews>
  <sheetFormatPr defaultColWidth="8.625" defaultRowHeight="21" customHeight="1" x14ac:dyDescent="0.45"/>
  <cols>
    <col min="1" max="1" width="3.125" style="13" customWidth="1"/>
    <col min="2" max="2" width="12.125" style="14" customWidth="1"/>
    <col min="3" max="3" width="36.375" style="14" customWidth="1"/>
    <col min="4" max="4" width="26" style="14" customWidth="1"/>
    <col min="5" max="5" width="22.25" style="14" customWidth="1"/>
    <col min="6" max="6" width="22.75" style="14" customWidth="1"/>
    <col min="7" max="7" width="14.375" style="14" customWidth="1"/>
    <col min="8" max="8" width="21.125" style="14" customWidth="1"/>
    <col min="9" max="9" width="14.375" style="14" customWidth="1"/>
    <col min="10" max="10" width="34.625" style="14" customWidth="1"/>
    <col min="11" max="11" width="25.125" style="14" customWidth="1"/>
    <col min="12" max="12" width="29" style="18" customWidth="1"/>
    <col min="13" max="13" width="51.375" style="34" customWidth="1"/>
    <col min="14" max="14" width="3.125" style="3" customWidth="1"/>
    <col min="15" max="16384" width="8.625" style="3"/>
  </cols>
  <sheetData>
    <row r="1" spans="1:14" ht="19.899999999999999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6" t="str">
        <f>calculations!M9</f>
        <v>BATTERY HOLDER TOTAL</v>
      </c>
      <c r="M1" s="34" t="s">
        <v>7</v>
      </c>
    </row>
    <row r="2" spans="1:14" ht="169.9" customHeight="1" x14ac:dyDescent="0.3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17"/>
    </row>
    <row r="3" spans="1:14" s="5" customFormat="1" ht="70.150000000000006" customHeight="1" x14ac:dyDescent="1.25">
      <c r="B3" s="45" t="s">
        <v>10</v>
      </c>
      <c r="C3" s="6"/>
      <c r="D3" s="51" t="s">
        <v>128</v>
      </c>
      <c r="E3" s="51"/>
      <c r="F3" s="51"/>
      <c r="G3" s="7"/>
      <c r="H3" s="52" t="s">
        <v>129</v>
      </c>
      <c r="I3" s="52"/>
      <c r="J3" s="52"/>
      <c r="K3" s="7"/>
      <c r="L3" s="15"/>
      <c r="M3" s="35"/>
    </row>
    <row r="4" spans="1:14" s="11" customFormat="1" ht="30" customHeight="1" x14ac:dyDescent="0.75">
      <c r="A4" s="8"/>
      <c r="B4" s="9" t="s">
        <v>0</v>
      </c>
      <c r="C4" s="9" t="s">
        <v>44</v>
      </c>
      <c r="D4" s="9" t="s">
        <v>8</v>
      </c>
      <c r="E4" s="9" t="s">
        <v>85</v>
      </c>
      <c r="F4" s="9" t="s">
        <v>9</v>
      </c>
      <c r="G4" s="9" t="s">
        <v>1</v>
      </c>
      <c r="H4" s="9" t="s">
        <v>113</v>
      </c>
      <c r="I4" s="9" t="s">
        <v>2</v>
      </c>
      <c r="J4" s="9" t="s">
        <v>3</v>
      </c>
      <c r="K4" s="9" t="s">
        <v>4</v>
      </c>
      <c r="L4" s="10"/>
      <c r="M4" s="46" t="str">
        <f>calculations!M6</f>
        <v>PASSIVE TOTAL</v>
      </c>
      <c r="N4" s="21"/>
    </row>
    <row r="5" spans="1:14" s="11" customFormat="1" ht="30" customHeight="1" x14ac:dyDescent="0.75">
      <c r="A5" s="8"/>
      <c r="B5" s="12"/>
      <c r="C5" t="s">
        <v>45</v>
      </c>
      <c r="D5" t="s">
        <v>11</v>
      </c>
      <c r="E5" t="s">
        <v>101</v>
      </c>
      <c r="F5" s="26" t="s">
        <v>81</v>
      </c>
      <c r="G5">
        <v>2</v>
      </c>
      <c r="H5" s="30" t="s">
        <v>114</v>
      </c>
      <c r="I5" s="31">
        <v>1.1000000000000001</v>
      </c>
      <c r="J5" s="32">
        <f>List[[#This Row],[QTY]]*List[[#This Row],[UNIT PRICE]]</f>
        <v>2.2000000000000002</v>
      </c>
      <c r="K5" s="29" t="s">
        <v>79</v>
      </c>
      <c r="L5" s="10"/>
      <c r="M5" s="36">
        <f>calculations!L6</f>
        <v>124</v>
      </c>
      <c r="N5" s="22"/>
    </row>
    <row r="6" spans="1:14" s="11" customFormat="1" ht="30" customHeight="1" x14ac:dyDescent="0.45">
      <c r="A6" s="8"/>
      <c r="B6" s="12"/>
      <c r="C6" t="s">
        <v>46</v>
      </c>
      <c r="D6" t="s">
        <v>12</v>
      </c>
      <c r="E6" t="s">
        <v>102</v>
      </c>
      <c r="F6" s="26" t="s">
        <v>81</v>
      </c>
      <c r="G6">
        <v>1</v>
      </c>
      <c r="H6" s="30" t="s">
        <v>115</v>
      </c>
      <c r="I6" s="31">
        <v>3.19</v>
      </c>
      <c r="J6" s="32">
        <f>List[[#This Row],[QTY]]*List[[#This Row],[UNIT PRICE]]</f>
        <v>3.19</v>
      </c>
      <c r="K6" s="29" t="s">
        <v>79</v>
      </c>
      <c r="L6" s="10"/>
      <c r="M6" s="37"/>
      <c r="N6" s="21"/>
    </row>
    <row r="7" spans="1:14" s="11" customFormat="1" ht="30" customHeight="1" x14ac:dyDescent="0.75">
      <c r="A7" s="8"/>
      <c r="B7" s="12"/>
      <c r="C7" t="s">
        <v>47</v>
      </c>
      <c r="D7" t="s">
        <v>13</v>
      </c>
      <c r="E7" t="s">
        <v>103</v>
      </c>
      <c r="F7" s="26" t="s">
        <v>81</v>
      </c>
      <c r="G7">
        <v>1</v>
      </c>
      <c r="H7" s="30" t="s">
        <v>114</v>
      </c>
      <c r="I7" s="31">
        <v>0.998</v>
      </c>
      <c r="J7" s="32">
        <f>List[[#This Row],[QTY]]*List[[#This Row],[UNIT PRICE]]</f>
        <v>0.998</v>
      </c>
      <c r="K7" s="29" t="s">
        <v>79</v>
      </c>
      <c r="L7" s="10"/>
      <c r="M7" s="47" t="str">
        <f>calculations!M7</f>
        <v>IC TOTAL</v>
      </c>
      <c r="N7" s="21"/>
    </row>
    <row r="8" spans="1:14" s="11" customFormat="1" ht="30" customHeight="1" x14ac:dyDescent="0.75">
      <c r="A8" s="8"/>
      <c r="B8" s="12"/>
      <c r="C8" t="s">
        <v>48</v>
      </c>
      <c r="D8" t="s">
        <v>14</v>
      </c>
      <c r="E8" t="s">
        <v>104</v>
      </c>
      <c r="F8" s="26" t="s">
        <v>81</v>
      </c>
      <c r="G8">
        <v>4</v>
      </c>
      <c r="H8" s="30" t="s">
        <v>114</v>
      </c>
      <c r="I8" s="31">
        <v>3.6</v>
      </c>
      <c r="J8" s="32">
        <f>List[[#This Row],[QTY]]*List[[#This Row],[UNIT PRICE]]</f>
        <v>14.4</v>
      </c>
      <c r="K8" s="29" t="s">
        <v>79</v>
      </c>
      <c r="L8" s="10"/>
      <c r="M8" s="38">
        <f>calculations!L7</f>
        <v>90</v>
      </c>
      <c r="N8" s="21"/>
    </row>
    <row r="9" spans="1:14" s="11" customFormat="1" ht="30" customHeight="1" x14ac:dyDescent="0.45">
      <c r="A9" s="8"/>
      <c r="B9" s="12"/>
      <c r="C9" t="s">
        <v>49</v>
      </c>
      <c r="D9" t="s">
        <v>15</v>
      </c>
      <c r="E9" t="s">
        <v>105</v>
      </c>
      <c r="F9" s="26" t="s">
        <v>81</v>
      </c>
      <c r="G9">
        <v>1</v>
      </c>
      <c r="H9" s="30" t="s">
        <v>114</v>
      </c>
      <c r="I9" s="31">
        <v>0.998</v>
      </c>
      <c r="J9" s="32">
        <f>List[[#This Row],[QTY]]*List[[#This Row],[UNIT PRICE]]</f>
        <v>0.998</v>
      </c>
      <c r="K9" s="29" t="s">
        <v>79</v>
      </c>
      <c r="L9" s="10"/>
      <c r="M9" s="37"/>
      <c r="N9" s="21"/>
    </row>
    <row r="10" spans="1:14" s="11" customFormat="1" ht="30" customHeight="1" x14ac:dyDescent="0.75">
      <c r="A10" s="8"/>
      <c r="B10" s="12"/>
      <c r="C10" t="s">
        <v>50</v>
      </c>
      <c r="D10" t="s">
        <v>16</v>
      </c>
      <c r="E10" t="s">
        <v>106</v>
      </c>
      <c r="F10" s="26" t="s">
        <v>81</v>
      </c>
      <c r="G10">
        <v>1</v>
      </c>
      <c r="H10" s="30" t="s">
        <v>114</v>
      </c>
      <c r="I10" s="31">
        <v>1.19</v>
      </c>
      <c r="J10" s="32">
        <f>List[[#This Row],[QTY]]*List[[#This Row],[UNIT PRICE]]</f>
        <v>1.19</v>
      </c>
      <c r="K10" s="29" t="s">
        <v>79</v>
      </c>
      <c r="L10" s="10"/>
      <c r="M10" s="48" t="str">
        <f>calculations!M8</f>
        <v>SPEAKER TOTAL</v>
      </c>
      <c r="N10" s="21"/>
    </row>
    <row r="11" spans="1:14" s="11" customFormat="1" ht="30" customHeight="1" x14ac:dyDescent="0.75">
      <c r="A11" s="8"/>
      <c r="B11" s="12"/>
      <c r="C11" t="s">
        <v>51</v>
      </c>
      <c r="D11" t="s">
        <v>17</v>
      </c>
      <c r="E11" t="s">
        <v>107</v>
      </c>
      <c r="F11" s="26" t="s">
        <v>81</v>
      </c>
      <c r="G11">
        <v>1</v>
      </c>
      <c r="H11" s="30" t="s">
        <v>114</v>
      </c>
      <c r="I11" s="31">
        <v>0.998</v>
      </c>
      <c r="J11" s="32">
        <f>List[[#This Row],[QTY]]*List[[#This Row],[UNIT PRICE]]</f>
        <v>0.998</v>
      </c>
      <c r="K11" s="29" t="s">
        <v>79</v>
      </c>
      <c r="L11" s="10"/>
      <c r="M11" s="39">
        <f>calculations!L8</f>
        <v>47</v>
      </c>
      <c r="N11" s="21"/>
    </row>
    <row r="12" spans="1:14" s="11" customFormat="1" ht="30" customHeight="1" x14ac:dyDescent="0.45">
      <c r="A12" s="8"/>
      <c r="B12" s="12"/>
      <c r="C12" t="s">
        <v>52</v>
      </c>
      <c r="D12" t="s">
        <v>18</v>
      </c>
      <c r="E12" t="s">
        <v>108</v>
      </c>
      <c r="F12" s="26" t="s">
        <v>81</v>
      </c>
      <c r="G12">
        <v>1</v>
      </c>
      <c r="H12" s="30" t="s">
        <v>114</v>
      </c>
      <c r="I12" s="31">
        <v>1.19</v>
      </c>
      <c r="J12" s="32">
        <f>List[[#This Row],[QTY]]*List[[#This Row],[UNIT PRICE]]</f>
        <v>1.19</v>
      </c>
      <c r="K12" s="29" t="s">
        <v>79</v>
      </c>
      <c r="L12" s="10"/>
      <c r="M12" s="37"/>
      <c r="N12" s="21"/>
    </row>
    <row r="13" spans="1:14" s="11" customFormat="1" ht="30" customHeight="1" x14ac:dyDescent="0.75">
      <c r="A13" s="8"/>
      <c r="B13" s="12"/>
      <c r="C13" t="s">
        <v>53</v>
      </c>
      <c r="D13" t="s">
        <v>19</v>
      </c>
      <c r="E13" t="s">
        <v>109</v>
      </c>
      <c r="F13" s="26" t="s">
        <v>81</v>
      </c>
      <c r="G13">
        <v>1</v>
      </c>
      <c r="H13" s="30" t="s">
        <v>114</v>
      </c>
      <c r="I13" s="31">
        <v>1.19</v>
      </c>
      <c r="J13" s="32">
        <f>List[[#This Row],[QTY]]*List[[#This Row],[UNIT PRICE]]</f>
        <v>1.19</v>
      </c>
      <c r="K13" s="29" t="s">
        <v>79</v>
      </c>
      <c r="L13" s="10"/>
      <c r="M13" s="49" t="str">
        <f>calculations!M9</f>
        <v>BATTERY HOLDER TOTAL</v>
      </c>
      <c r="N13" s="21"/>
    </row>
    <row r="14" spans="1:14" s="11" customFormat="1" ht="30" customHeight="1" x14ac:dyDescent="0.75">
      <c r="A14" s="8"/>
      <c r="B14" s="12"/>
      <c r="C14" t="s">
        <v>54</v>
      </c>
      <c r="D14" t="s">
        <v>20</v>
      </c>
      <c r="E14" t="s">
        <v>102</v>
      </c>
      <c r="F14" s="26" t="s">
        <v>81</v>
      </c>
      <c r="G14">
        <v>6</v>
      </c>
      <c r="H14" s="30" t="s">
        <v>116</v>
      </c>
      <c r="I14" s="31">
        <v>5.09</v>
      </c>
      <c r="J14" s="32">
        <f>List[[#This Row],[QTY]]*List[[#This Row],[UNIT PRICE]]</f>
        <v>30.54</v>
      </c>
      <c r="K14" s="29" t="s">
        <v>79</v>
      </c>
      <c r="L14" s="10"/>
      <c r="M14" s="40">
        <f>calculations!L9</f>
        <v>38</v>
      </c>
      <c r="N14" s="21"/>
    </row>
    <row r="15" spans="1:14" s="11" customFormat="1" ht="30" customHeight="1" x14ac:dyDescent="0.45">
      <c r="A15" s="8"/>
      <c r="B15" s="12"/>
      <c r="C15" t="s">
        <v>55</v>
      </c>
      <c r="D15" t="s">
        <v>21</v>
      </c>
      <c r="E15" t="s">
        <v>101</v>
      </c>
      <c r="F15" s="26" t="s">
        <v>81</v>
      </c>
      <c r="G15">
        <v>1</v>
      </c>
      <c r="H15" s="30" t="s">
        <v>116</v>
      </c>
      <c r="I15" s="31">
        <v>1.6</v>
      </c>
      <c r="J15" s="32">
        <f>List[[#This Row],[QTY]]*List[[#This Row],[UNIT PRICE]]</f>
        <v>1.6</v>
      </c>
      <c r="K15" s="29" t="s">
        <v>79</v>
      </c>
      <c r="L15" s="10"/>
      <c r="M15" s="37"/>
      <c r="N15" s="21"/>
    </row>
    <row r="16" spans="1:14" s="11" customFormat="1" ht="30" customHeight="1" x14ac:dyDescent="0.75">
      <c r="A16" s="8"/>
      <c r="B16" s="12"/>
      <c r="C16" t="s">
        <v>56</v>
      </c>
      <c r="D16" t="s">
        <v>22</v>
      </c>
      <c r="E16" t="s">
        <v>110</v>
      </c>
      <c r="F16" s="26" t="s">
        <v>81</v>
      </c>
      <c r="G16">
        <v>3</v>
      </c>
      <c r="H16" s="30" t="s">
        <v>114</v>
      </c>
      <c r="I16" s="31">
        <v>1.39</v>
      </c>
      <c r="J16" s="32">
        <f>List[[#This Row],[QTY]]*List[[#This Row],[UNIT PRICE]]</f>
        <v>4.17</v>
      </c>
      <c r="K16" s="29" t="s">
        <v>79</v>
      </c>
      <c r="L16" s="10"/>
      <c r="M16" s="50" t="str">
        <f>calculations!M10</f>
        <v>CONNECTOR TOTAL</v>
      </c>
      <c r="N16" s="21"/>
    </row>
    <row r="17" spans="1:14" s="11" customFormat="1" ht="30" customHeight="1" x14ac:dyDescent="0.75">
      <c r="A17" s="8"/>
      <c r="B17" s="12"/>
      <c r="C17" t="s">
        <v>57</v>
      </c>
      <c r="D17" t="s">
        <v>23</v>
      </c>
      <c r="E17" t="s">
        <v>111</v>
      </c>
      <c r="F17" s="26" t="s">
        <v>81</v>
      </c>
      <c r="G17">
        <v>2</v>
      </c>
      <c r="H17" s="30" t="s">
        <v>116</v>
      </c>
      <c r="I17" s="31">
        <v>1.3</v>
      </c>
      <c r="J17" s="32">
        <f>List[[#This Row],[QTY]]*List[[#This Row],[UNIT PRICE]]</f>
        <v>2.6</v>
      </c>
      <c r="K17" s="29" t="s">
        <v>79</v>
      </c>
      <c r="L17" s="10"/>
      <c r="M17" s="41">
        <f>calculations!L10</f>
        <v>21</v>
      </c>
      <c r="N17" s="21"/>
    </row>
    <row r="18" spans="1:14" s="11" customFormat="1" ht="30" customHeight="1" x14ac:dyDescent="0.45">
      <c r="A18" s="8"/>
      <c r="B18" s="12"/>
      <c r="C18" t="s">
        <v>58</v>
      </c>
      <c r="D18" t="s">
        <v>24</v>
      </c>
      <c r="E18" t="s">
        <v>112</v>
      </c>
      <c r="F18" s="26" t="s">
        <v>81</v>
      </c>
      <c r="G18">
        <v>1</v>
      </c>
      <c r="H18" s="30" t="s">
        <v>114</v>
      </c>
      <c r="I18" s="31">
        <v>1.8</v>
      </c>
      <c r="J18" s="32">
        <f>List[[#This Row],[QTY]]*List[[#This Row],[UNIT PRICE]]</f>
        <v>1.8</v>
      </c>
      <c r="K18" s="29" t="s">
        <v>79</v>
      </c>
      <c r="L18" s="10"/>
      <c r="M18" s="37"/>
      <c r="N18" s="21"/>
    </row>
    <row r="19" spans="1:14" s="11" customFormat="1" ht="30" customHeight="1" x14ac:dyDescent="0.75">
      <c r="A19" s="8"/>
      <c r="B19" s="12"/>
      <c r="C19" t="s">
        <v>59</v>
      </c>
      <c r="D19" t="s">
        <v>25</v>
      </c>
      <c r="E19" t="s">
        <v>86</v>
      </c>
      <c r="F19" s="26" t="s">
        <v>81</v>
      </c>
      <c r="G19">
        <v>1</v>
      </c>
      <c r="H19" s="30" t="s">
        <v>117</v>
      </c>
      <c r="I19" s="31">
        <v>11.37</v>
      </c>
      <c r="J19" s="32">
        <f>List[[#This Row],[QTY]]*List[[#This Row],[UNIT PRICE]]</f>
        <v>11.37</v>
      </c>
      <c r="K19" s="29" t="s">
        <v>80</v>
      </c>
      <c r="L19" s="10"/>
      <c r="M19" s="42" t="str">
        <f>calculations!M4</f>
        <v>COMPONENTS TOTAL</v>
      </c>
      <c r="N19" s="22"/>
    </row>
    <row r="20" spans="1:14" s="11" customFormat="1" ht="30" customHeight="1" x14ac:dyDescent="0.75">
      <c r="A20" s="8"/>
      <c r="B20" s="12"/>
      <c r="C20" t="s">
        <v>60</v>
      </c>
      <c r="D20" t="s">
        <v>26</v>
      </c>
      <c r="E20">
        <v>120</v>
      </c>
      <c r="F20" s="26" t="s">
        <v>81</v>
      </c>
      <c r="G20">
        <v>1</v>
      </c>
      <c r="H20" s="30" t="s">
        <v>114</v>
      </c>
      <c r="I20" s="31">
        <v>1.3</v>
      </c>
      <c r="J20" s="32">
        <f>List[[#This Row],[QTY]]*List[[#This Row],[UNIT PRICE]]</f>
        <v>1.3</v>
      </c>
      <c r="K20" s="29" t="s">
        <v>141</v>
      </c>
      <c r="L20" s="10"/>
      <c r="M20" s="42">
        <f>GroceryTotal</f>
        <v>321</v>
      </c>
      <c r="N20" s="22"/>
    </row>
    <row r="21" spans="1:14" s="11" customFormat="1" ht="30" customHeight="1" x14ac:dyDescent="0.3">
      <c r="A21" s="8"/>
      <c r="B21" s="12"/>
      <c r="C21" t="s">
        <v>61</v>
      </c>
      <c r="D21" t="s">
        <v>27</v>
      </c>
      <c r="E21">
        <v>1000</v>
      </c>
      <c r="F21" s="26" t="s">
        <v>81</v>
      </c>
      <c r="G21">
        <v>2</v>
      </c>
      <c r="H21" s="30" t="s">
        <v>118</v>
      </c>
      <c r="I21" s="31">
        <v>2.99</v>
      </c>
      <c r="J21" s="32">
        <f>List[[#This Row],[QTY]]*List[[#This Row],[UNIT PRICE]]</f>
        <v>5.98</v>
      </c>
      <c r="K21" s="29" t="s">
        <v>141</v>
      </c>
      <c r="L21" s="10"/>
      <c r="M21" s="43"/>
      <c r="N21" s="23"/>
    </row>
    <row r="22" spans="1:14" s="11" customFormat="1" ht="30" customHeight="1" x14ac:dyDescent="0.3">
      <c r="A22" s="8"/>
      <c r="B22" s="12"/>
      <c r="C22" t="s">
        <v>62</v>
      </c>
      <c r="D22" t="s">
        <v>28</v>
      </c>
      <c r="E22" t="s">
        <v>87</v>
      </c>
      <c r="F22" s="26" t="s">
        <v>82</v>
      </c>
      <c r="G22">
        <v>1</v>
      </c>
      <c r="H22" s="30" t="s">
        <v>119</v>
      </c>
      <c r="I22" s="31">
        <v>21</v>
      </c>
      <c r="J22" s="32">
        <f>List[[#This Row],[QTY]]*List[[#This Row],[UNIT PRICE]]</f>
        <v>21</v>
      </c>
      <c r="K22" s="29" t="s">
        <v>140</v>
      </c>
      <c r="L22" s="10"/>
      <c r="M22" s="43"/>
      <c r="N22" s="23"/>
    </row>
    <row r="23" spans="1:14" s="11" customFormat="1" ht="30" customHeight="1" x14ac:dyDescent="0.3">
      <c r="A23" s="8"/>
      <c r="B23" s="24"/>
      <c r="C23" t="s">
        <v>63</v>
      </c>
      <c r="D23"/>
      <c r="E23" t="s">
        <v>88</v>
      </c>
      <c r="F23" s="26"/>
      <c r="G23">
        <v>1</v>
      </c>
      <c r="H23" s="30" t="s">
        <v>120</v>
      </c>
      <c r="I23" s="31"/>
      <c r="J23" s="32">
        <f>List[[#This Row],[QTY]]*List[[#This Row],[UNIT PRICE]]</f>
        <v>0</v>
      </c>
      <c r="K23" s="29" t="s">
        <v>140</v>
      </c>
      <c r="L23" s="10"/>
      <c r="M23" s="43"/>
      <c r="N23" s="23"/>
    </row>
    <row r="24" spans="1:14" s="11" customFormat="1" ht="30" customHeight="1" x14ac:dyDescent="0.3">
      <c r="A24" s="8"/>
      <c r="B24" s="24"/>
      <c r="C24" t="s">
        <v>64</v>
      </c>
      <c r="D24" t="s">
        <v>29</v>
      </c>
      <c r="E24" t="s">
        <v>89</v>
      </c>
      <c r="F24" s="26" t="s">
        <v>81</v>
      </c>
      <c r="G24">
        <v>1</v>
      </c>
      <c r="H24" s="30" t="s">
        <v>116</v>
      </c>
      <c r="I24" s="31">
        <v>1.69</v>
      </c>
      <c r="J24" s="32">
        <f>List[[#This Row],[QTY]]*List[[#This Row],[UNIT PRICE]]</f>
        <v>1.69</v>
      </c>
      <c r="K24" s="29" t="s">
        <v>139</v>
      </c>
      <c r="L24" s="10"/>
      <c r="M24" s="43"/>
      <c r="N24" s="23"/>
    </row>
    <row r="25" spans="1:14" s="11" customFormat="1" ht="30" customHeight="1" x14ac:dyDescent="0.3">
      <c r="A25" s="8"/>
      <c r="B25" s="24"/>
      <c r="C25" t="s">
        <v>65</v>
      </c>
      <c r="D25" t="s">
        <v>30</v>
      </c>
      <c r="E25" t="s">
        <v>90</v>
      </c>
      <c r="F25" s="26" t="s">
        <v>81</v>
      </c>
      <c r="G25">
        <v>1</v>
      </c>
      <c r="H25" s="30" t="s">
        <v>114</v>
      </c>
      <c r="I25" s="31">
        <v>1.19</v>
      </c>
      <c r="J25" s="32">
        <f>List[[#This Row],[QTY]]*List[[#This Row],[UNIT PRICE]]</f>
        <v>1.19</v>
      </c>
      <c r="K25" s="29" t="s">
        <v>139</v>
      </c>
      <c r="L25" s="10"/>
      <c r="M25" s="43"/>
      <c r="N25" s="23"/>
    </row>
    <row r="26" spans="1:14" s="11" customFormat="1" ht="30" customHeight="1" x14ac:dyDescent="0.3">
      <c r="A26" s="8"/>
      <c r="B26" s="24"/>
      <c r="C26" t="s">
        <v>66</v>
      </c>
      <c r="D26" t="s">
        <v>31</v>
      </c>
      <c r="E26" t="s">
        <v>91</v>
      </c>
      <c r="F26" s="26" t="s">
        <v>81</v>
      </c>
      <c r="G26">
        <v>2</v>
      </c>
      <c r="H26" s="30" t="s">
        <v>114</v>
      </c>
      <c r="I26" s="31">
        <v>1.19</v>
      </c>
      <c r="J26" s="32">
        <f>List[[#This Row],[QTY]]*List[[#This Row],[UNIT PRICE]]</f>
        <v>2.38</v>
      </c>
      <c r="K26" s="29" t="s">
        <v>139</v>
      </c>
      <c r="L26" s="10"/>
      <c r="M26" s="43"/>
      <c r="N26" s="23"/>
    </row>
    <row r="27" spans="1:14" s="11" customFormat="1" ht="30" customHeight="1" x14ac:dyDescent="0.3">
      <c r="A27" s="8"/>
      <c r="B27" s="24"/>
      <c r="C27" t="s">
        <v>67</v>
      </c>
      <c r="D27" t="s">
        <v>32</v>
      </c>
      <c r="E27" t="s">
        <v>92</v>
      </c>
      <c r="F27" s="26" t="s">
        <v>81</v>
      </c>
      <c r="G27">
        <v>2</v>
      </c>
      <c r="H27" s="30" t="s">
        <v>121</v>
      </c>
      <c r="I27" s="31">
        <v>2.19</v>
      </c>
      <c r="J27" s="32">
        <f>List[[#This Row],[QTY]]*List[[#This Row],[UNIT PRICE]]</f>
        <v>4.38</v>
      </c>
      <c r="K27" s="29" t="s">
        <v>139</v>
      </c>
      <c r="L27" s="10"/>
      <c r="M27" s="43"/>
      <c r="N27" s="23"/>
    </row>
    <row r="28" spans="1:14" s="11" customFormat="1" ht="30" customHeight="1" x14ac:dyDescent="0.3">
      <c r="A28" s="8"/>
      <c r="B28" s="24"/>
      <c r="C28" t="s">
        <v>68</v>
      </c>
      <c r="D28" t="s">
        <v>33</v>
      </c>
      <c r="E28" t="s">
        <v>33</v>
      </c>
      <c r="F28" s="26" t="s">
        <v>83</v>
      </c>
      <c r="G28">
        <v>1</v>
      </c>
      <c r="H28" s="30" t="s">
        <v>130</v>
      </c>
      <c r="I28" s="31">
        <v>47.21</v>
      </c>
      <c r="J28" s="32">
        <f>List[[#This Row],[QTY]]*List[[#This Row],[UNIT PRICE]]</f>
        <v>47.21</v>
      </c>
      <c r="K28" s="29" t="s">
        <v>133</v>
      </c>
      <c r="L28" s="10"/>
      <c r="M28" s="43"/>
      <c r="N28" s="23"/>
    </row>
    <row r="29" spans="1:14" s="11" customFormat="1" ht="30" customHeight="1" x14ac:dyDescent="0.3">
      <c r="A29" s="8"/>
      <c r="B29" s="24"/>
      <c r="C29" t="s">
        <v>69</v>
      </c>
      <c r="D29" t="s">
        <v>34</v>
      </c>
      <c r="E29" t="s">
        <v>93</v>
      </c>
      <c r="F29" s="26" t="s">
        <v>81</v>
      </c>
      <c r="G29">
        <v>1</v>
      </c>
      <c r="H29" s="30" t="s">
        <v>116</v>
      </c>
      <c r="I29" s="31">
        <v>3.89</v>
      </c>
      <c r="J29" s="32">
        <f>List[[#This Row],[QTY]]*List[[#This Row],[UNIT PRICE]]</f>
        <v>3.89</v>
      </c>
      <c r="K29" s="29" t="s">
        <v>138</v>
      </c>
      <c r="L29" s="10"/>
      <c r="M29" s="43"/>
      <c r="N29" s="23"/>
    </row>
    <row r="30" spans="1:14" s="11" customFormat="1" ht="30" customHeight="1" x14ac:dyDescent="0.3">
      <c r="A30" s="8"/>
      <c r="B30" s="24"/>
      <c r="C30" t="s">
        <v>70</v>
      </c>
      <c r="D30" t="s">
        <v>35</v>
      </c>
      <c r="E30" t="s">
        <v>94</v>
      </c>
      <c r="F30" s="26" t="s">
        <v>81</v>
      </c>
      <c r="G30">
        <v>1</v>
      </c>
      <c r="H30" s="30" t="s">
        <v>114</v>
      </c>
      <c r="I30" s="31">
        <v>0.998</v>
      </c>
      <c r="J30" s="32">
        <f>List[[#This Row],[QTY]]*List[[#This Row],[UNIT PRICE]]</f>
        <v>0.998</v>
      </c>
      <c r="K30" s="29" t="s">
        <v>138</v>
      </c>
      <c r="L30" s="10"/>
      <c r="M30" s="43"/>
      <c r="N30" s="23"/>
    </row>
    <row r="31" spans="1:14" ht="30.75" customHeight="1" x14ac:dyDescent="0.3">
      <c r="B31" s="24"/>
      <c r="C31" t="s">
        <v>71</v>
      </c>
      <c r="D31" t="s">
        <v>36</v>
      </c>
      <c r="E31" t="s">
        <v>95</v>
      </c>
      <c r="F31" s="26" t="s">
        <v>81</v>
      </c>
      <c r="G31">
        <v>2</v>
      </c>
      <c r="H31" s="30" t="s">
        <v>115</v>
      </c>
      <c r="I31" s="31">
        <v>3.19</v>
      </c>
      <c r="J31" s="32">
        <f>List[[#This Row],[QTY]]*List[[#This Row],[UNIT PRICE]]</f>
        <v>6.38</v>
      </c>
      <c r="K31" s="29" t="s">
        <v>138</v>
      </c>
      <c r="L31" s="14"/>
      <c r="N31" s="20"/>
    </row>
    <row r="32" spans="1:14" ht="29.25" customHeight="1" x14ac:dyDescent="0.3">
      <c r="B32" s="24"/>
      <c r="C32" t="s">
        <v>72</v>
      </c>
      <c r="D32" t="s">
        <v>37</v>
      </c>
      <c r="E32" t="s">
        <v>96</v>
      </c>
      <c r="F32" s="26" t="s">
        <v>81</v>
      </c>
      <c r="G32">
        <v>2</v>
      </c>
      <c r="H32" s="30" t="s">
        <v>114</v>
      </c>
      <c r="I32" s="31">
        <v>2.1</v>
      </c>
      <c r="J32" s="32">
        <f>List[[#This Row],[QTY]]*List[[#This Row],[UNIT PRICE]]</f>
        <v>4.2</v>
      </c>
      <c r="K32" s="29" t="s">
        <v>138</v>
      </c>
      <c r="L32" s="14"/>
      <c r="N32" s="20"/>
    </row>
    <row r="33" spans="2:14" ht="29.25" customHeight="1" x14ac:dyDescent="0.45">
      <c r="B33" s="24"/>
      <c r="C33" t="s">
        <v>73</v>
      </c>
      <c r="D33" t="s">
        <v>38</v>
      </c>
      <c r="E33" t="s">
        <v>97</v>
      </c>
      <c r="F33" s="26" t="s">
        <v>84</v>
      </c>
      <c r="G33">
        <v>1</v>
      </c>
      <c r="H33" s="30" t="s">
        <v>122</v>
      </c>
      <c r="I33" s="31">
        <v>23.08</v>
      </c>
      <c r="J33" s="32">
        <f>List[[#This Row],[QTY]]*List[[#This Row],[UNIT PRICE]]</f>
        <v>23.08</v>
      </c>
      <c r="K33" s="29" t="s">
        <v>135</v>
      </c>
      <c r="L33" s="14"/>
      <c r="M33" s="44"/>
      <c r="N33" s="20"/>
    </row>
    <row r="34" spans="2:14" ht="29.25" customHeight="1" x14ac:dyDescent="0.45">
      <c r="B34" s="24"/>
      <c r="C34" t="s">
        <v>74</v>
      </c>
      <c r="D34" t="s">
        <v>39</v>
      </c>
      <c r="E34" t="s">
        <v>39</v>
      </c>
      <c r="F34" s="26" t="s">
        <v>84</v>
      </c>
      <c r="G34">
        <v>1</v>
      </c>
      <c r="H34" s="30" t="s">
        <v>123</v>
      </c>
      <c r="I34" s="31">
        <v>15.31</v>
      </c>
      <c r="J34" s="32">
        <f>List[[#This Row],[QTY]]*List[[#This Row],[UNIT PRICE]]</f>
        <v>15.31</v>
      </c>
      <c r="K34" s="29" t="s">
        <v>136</v>
      </c>
      <c r="L34" s="14"/>
      <c r="M34" s="44"/>
      <c r="N34" s="20"/>
    </row>
    <row r="35" spans="2:14" ht="29.25" customHeight="1" x14ac:dyDescent="0.45">
      <c r="B35" s="24"/>
      <c r="C35" t="s">
        <v>75</v>
      </c>
      <c r="D35" t="s">
        <v>40</v>
      </c>
      <c r="E35" t="s">
        <v>98</v>
      </c>
      <c r="F35" s="26" t="s">
        <v>84</v>
      </c>
      <c r="G35">
        <v>1</v>
      </c>
      <c r="H35" s="30" t="s">
        <v>124</v>
      </c>
      <c r="I35" s="31">
        <v>51.62</v>
      </c>
      <c r="J35" s="32">
        <f>List[[#This Row],[QTY]]*List[[#This Row],[UNIT PRICE]]</f>
        <v>51.62</v>
      </c>
      <c r="K35" s="29" t="s">
        <v>137</v>
      </c>
      <c r="L35" s="14"/>
      <c r="M35" s="44"/>
      <c r="N35" s="20"/>
    </row>
    <row r="36" spans="2:14" ht="29.25" customHeight="1" x14ac:dyDescent="0.45">
      <c r="B36" s="24"/>
      <c r="C36" t="s">
        <v>76</v>
      </c>
      <c r="D36" t="s">
        <v>41</v>
      </c>
      <c r="E36" t="s">
        <v>41</v>
      </c>
      <c r="F36" s="26" t="s">
        <v>132</v>
      </c>
      <c r="G36">
        <v>1</v>
      </c>
      <c r="H36" s="30" t="s">
        <v>125</v>
      </c>
      <c r="I36" s="31">
        <v>38.28</v>
      </c>
      <c r="J36" s="32">
        <f>List[[#This Row],[QTY]]*List[[#This Row],[UNIT PRICE]]</f>
        <v>38.28</v>
      </c>
      <c r="K36" s="29" t="s">
        <v>131</v>
      </c>
      <c r="L36" s="14"/>
      <c r="M36" s="44"/>
      <c r="N36" s="20"/>
    </row>
    <row r="37" spans="2:14" ht="29.25" customHeight="1" x14ac:dyDescent="0.45">
      <c r="B37" s="24"/>
      <c r="C37" t="s">
        <v>77</v>
      </c>
      <c r="D37" t="s">
        <v>42</v>
      </c>
      <c r="E37" t="s">
        <v>99</v>
      </c>
      <c r="F37" s="26" t="s">
        <v>81</v>
      </c>
      <c r="G37">
        <v>1</v>
      </c>
      <c r="H37" s="30" t="s">
        <v>121</v>
      </c>
      <c r="I37" s="31">
        <v>6.59</v>
      </c>
      <c r="J37" s="32">
        <f>List[[#This Row],[QTY]]*List[[#This Row],[UNIT PRICE]]</f>
        <v>6.59</v>
      </c>
      <c r="K37" s="29" t="s">
        <v>134</v>
      </c>
      <c r="L37" s="14"/>
      <c r="M37" s="44"/>
      <c r="N37" s="20"/>
    </row>
    <row r="38" spans="2:14" ht="29.25" customHeight="1" x14ac:dyDescent="0.45">
      <c r="B38" s="24"/>
      <c r="C38" t="s">
        <v>78</v>
      </c>
      <c r="D38" t="s">
        <v>43</v>
      </c>
      <c r="E38" t="s">
        <v>100</v>
      </c>
      <c r="F38" s="26" t="s">
        <v>81</v>
      </c>
      <c r="G38">
        <v>1</v>
      </c>
      <c r="H38" s="30" t="s">
        <v>126</v>
      </c>
      <c r="I38" s="31">
        <v>6.59</v>
      </c>
      <c r="J38" s="32">
        <f>List[[#This Row],[QTY]]*List[[#This Row],[UNIT PRICE]]</f>
        <v>6.59</v>
      </c>
      <c r="K38" s="29" t="s">
        <v>134</v>
      </c>
      <c r="L38" s="14"/>
      <c r="M38" s="44"/>
      <c r="N38" s="20"/>
    </row>
    <row r="39" spans="2:14" ht="21" customHeight="1" x14ac:dyDescent="0.45">
      <c r="B39" s="24"/>
      <c r="C39" s="24"/>
      <c r="D39" s="25"/>
      <c r="E39" s="26"/>
      <c r="F39" s="26"/>
      <c r="G39" s="26"/>
      <c r="H39" s="26"/>
      <c r="I39" s="27"/>
      <c r="J39" s="28"/>
      <c r="K39" s="29"/>
      <c r="L39" s="14"/>
      <c r="M39" s="44"/>
      <c r="N39" s="20"/>
    </row>
    <row r="40" spans="2:14" ht="21" customHeight="1" x14ac:dyDescent="0.45">
      <c r="B40" s="24"/>
      <c r="C40" s="24"/>
      <c r="D40" s="25"/>
      <c r="E40" s="26"/>
      <c r="F40" s="26"/>
      <c r="G40" s="26"/>
      <c r="H40" s="26"/>
      <c r="I40" s="27"/>
      <c r="J40" s="28"/>
      <c r="K40" s="29"/>
      <c r="L40" s="14"/>
      <c r="M40" s="44"/>
      <c r="N40" s="20"/>
    </row>
  </sheetData>
  <dataValidations count="17">
    <dataValidation allowBlank="1" showInputMessage="1" showErrorMessage="1" prompt="Enter Item in this column under this heading" sqref="D4" xr:uid="{00000000-0002-0000-0000-000003000000}"/>
    <dataValidation allowBlank="1" showInputMessage="1" showErrorMessage="1" prompt="Enter Store type in this column under this heading" sqref="E4" xr:uid="{00000000-0002-0000-0000-000004000000}"/>
    <dataValidation allowBlank="1" showInputMessage="1" showErrorMessage="1" prompt="Enter Category in this column under this heading" sqref="F4" xr:uid="{00000000-0002-0000-0000-000005000000}"/>
    <dataValidation allowBlank="1" showInputMessage="1" showErrorMessage="1" prompt="Enter Quantity in this column under this heading" sqref="G4" xr:uid="{00000000-0002-0000-0000-000006000000}"/>
    <dataValidation allowBlank="1" showInputMessage="1" showErrorMessage="1" prompt="Enter Unit in this column under this heading" sqref="H4" xr:uid="{00000000-0002-0000-0000-000007000000}"/>
    <dataValidation allowBlank="1" showInputMessage="1" showErrorMessage="1" prompt="Enter Unit Price in this column under this heading" sqref="I4" xr:uid="{00000000-0002-0000-0000-000008000000}"/>
    <dataValidation allowBlank="1" showInputMessage="1" showErrorMessage="1" prompt="Total is automatically calculated in this column under this heading" sqref="J4" xr:uid="{00000000-0002-0000-0000-000009000000}"/>
    <dataValidation allowBlank="1" showInputMessage="1" showErrorMessage="1" prompt="Enter Comment in this column under this heading" sqref="K4" xr:uid="{00000000-0002-0000-0000-00000A000000}"/>
    <dataValidation allowBlank="1" showInputMessage="1" showErrorMessage="1" prompt="Title of this worksheet is in this cell" sqref="B3" xr:uid="{00000000-0002-0000-0000-000001000000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F32E9475-D2A8-4CE6-8E30-6E8AC85C9B74}"/>
    <dataValidation allowBlank="1" showInputMessage="1" showErrorMessage="1" prompt="Category with the highest price subtotal automatically appears here. Price subtotal is in below cell." sqref="M4" xr:uid="{B56AEA0C-F93D-44A8-A7FB-41981A1EF693}"/>
    <dataValidation allowBlank="1" showInputMessage="1" showErrorMessage="1" prompt="Category with the second highest price subtotal automatically appears here. Price subtotal is in below cell." sqref="M7" xr:uid="{855CCE33-4072-40FC-B957-52013974A135}"/>
    <dataValidation allowBlank="1" showInputMessage="1" showErrorMessage="1" prompt="Category with the third highest price subtotal automatically appears here. Price subtotal is in below cell." sqref="M10" xr:uid="{E72C545F-3216-40BE-928D-65954C5C4512}"/>
    <dataValidation allowBlank="1" showInputMessage="1" showErrorMessage="1" prompt="Category with the fourth highest price subtotal automatically appears here. Price subtotal is in below cell." sqref="M13" xr:uid="{B2789AE5-6AC2-4D47-B360-9B4218F312C0}"/>
    <dataValidation allowBlank="1" showInputMessage="1" showErrorMessage="1" prompt="Price subtotal for other items not included in the first four categories is automatically summed up in the cell below" sqref="M16" xr:uid="{EC7838AD-082F-4391-B236-4F5DADBF25B3}"/>
    <dataValidation allowBlank="1" showInputMessage="1" showErrorMessage="1" prompt="Total for all grocery items is calculated in the cell below" sqref="M19" xr:uid="{D4BE0142-F2BD-4B5F-A5A3-43DB8B4150C5}"/>
    <dataValidation allowBlank="1" showInputMessage="1" showErrorMessage="1" prompt="Enter a number greater than 0 in this column under this heading to mark item as bought" sqref="B4:C4" xr:uid="{00000000-0002-0000-0000-000002000000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DFC9C84-28BF-44D2-94EA-43F4C08E96CD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B5:C38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1"/>
  <sheetViews>
    <sheetView workbookViewId="0">
      <selection activeCell="M11" sqref="M11"/>
    </sheetView>
  </sheetViews>
  <sheetFormatPr defaultColWidth="8.625" defaultRowHeight="16.5" x14ac:dyDescent="0.3"/>
  <cols>
    <col min="5" max="5" width="18.625" customWidth="1"/>
    <col min="11" max="12" width="12.125" customWidth="1"/>
    <col min="13" max="13" width="14.5" customWidth="1"/>
  </cols>
  <sheetData>
    <row r="1" spans="1:13" x14ac:dyDescent="0.3">
      <c r="A1" t="s">
        <v>5</v>
      </c>
    </row>
    <row r="3" spans="1:13" x14ac:dyDescent="0.3">
      <c r="K3" s="31">
        <f>SUM(List[TOTAL])-SUM(K6:K10)</f>
        <v>0</v>
      </c>
      <c r="L3" s="31">
        <f>ROUND(K3,0)</f>
        <v>0</v>
      </c>
      <c r="M3" t="s">
        <v>6</v>
      </c>
    </row>
    <row r="4" spans="1:13" x14ac:dyDescent="0.3">
      <c r="K4" s="31"/>
      <c r="L4" s="31">
        <f>ROUNDUP(SUM(List[TOTAL]),0)</f>
        <v>321</v>
      </c>
      <c r="M4" t="s">
        <v>127</v>
      </c>
    </row>
    <row r="5" spans="1:13" x14ac:dyDescent="0.3">
      <c r="K5" s="31"/>
      <c r="L5" s="31"/>
    </row>
    <row r="6" spans="1:13" x14ac:dyDescent="0.3">
      <c r="E6" s="19" t="str">
        <f t="array" ref="E6">IFERROR(INDEX(List[Component type],MATCH(,COUNTIF($E$5:E5,List[Component type]),)),"")</f>
        <v>PASSIVE</v>
      </c>
      <c r="F6">
        <f>SUMIFS(List[TOTAL],List[Component type],E6)</f>
        <v>124.00200000000001</v>
      </c>
      <c r="G6">
        <f>F6+ROW()/1000000</f>
        <v>124.00200600000001</v>
      </c>
      <c r="H6">
        <f>LARGE($G$6:$G$21,1)</f>
        <v>124.00200600000001</v>
      </c>
      <c r="I6">
        <f>MATCH(H6,$G$6:$G$21,0)</f>
        <v>1</v>
      </c>
      <c r="J6" t="str">
        <f>INDEX($E$6:$E$21,$I6)</f>
        <v>PASSIVE</v>
      </c>
      <c r="K6" s="33">
        <f>INDEX($F$6:$F$21,$I6)</f>
        <v>124.00200000000001</v>
      </c>
      <c r="L6" s="31">
        <f>IF(M6="","", ROUND(K6,0))</f>
        <v>124</v>
      </c>
      <c r="M6" t="str">
        <f>IF(J6="","", UPPER(J6) &amp; " TOTAL")</f>
        <v>PASSIVE TOTAL</v>
      </c>
    </row>
    <row r="7" spans="1:13" x14ac:dyDescent="0.3">
      <c r="E7" s="19" t="str">
        <f t="array" ref="E7">IFERROR(INDEX(List[Component type],MATCH(,COUNTIF($E$5:E6,List[Component type]),)),"")</f>
        <v>CONNECTOR</v>
      </c>
      <c r="F7">
        <f>SUMIFS(List[TOTAL],List[Component type],E7)</f>
        <v>21</v>
      </c>
      <c r="G7">
        <f t="shared" ref="G7:G21" si="0">F7+ROW()/1000000</f>
        <v>21.000007</v>
      </c>
      <c r="H7">
        <f>LARGE($G$6:$G$21,2)</f>
        <v>90.010009999999994</v>
      </c>
      <c r="I7">
        <f>MATCH(H7,$G$6:$G$21,0)</f>
        <v>5</v>
      </c>
      <c r="J7" t="str">
        <f>INDEX($E$6:$E$21,$I7)</f>
        <v>IC</v>
      </c>
      <c r="K7" s="33">
        <f>INDEX($F$6:$F$21,$I7)</f>
        <v>90.009999999999991</v>
      </c>
      <c r="L7" s="31">
        <f t="shared" ref="L7:L10" si="1">IF(M7="","", ROUND(K7,0))</f>
        <v>90</v>
      </c>
      <c r="M7" t="str">
        <f>IF(J7="","", UPPER(J7) &amp; " TOTAL")</f>
        <v>IC TOTAL</v>
      </c>
    </row>
    <row r="8" spans="1:13" x14ac:dyDescent="0.3">
      <c r="E8" s="19">
        <f t="array" ref="E8">IFERROR(INDEX(List[Component type],MATCH(,COUNTIF($E$5:E7,List[Component type]),)),"")</f>
        <v>0</v>
      </c>
      <c r="F8">
        <f>SUMIFS(List[TOTAL],List[Component type],E8)</f>
        <v>0</v>
      </c>
      <c r="G8">
        <f t="shared" si="0"/>
        <v>7.9999999999999996E-6</v>
      </c>
      <c r="H8">
        <f>LARGE($G$6:$G$21,3)</f>
        <v>47.210008999999999</v>
      </c>
      <c r="I8">
        <f>MATCH(H8,$G$6:$G$21,0)</f>
        <v>4</v>
      </c>
      <c r="J8" t="str">
        <f>INDEX($E$6:$E$21,$I8)</f>
        <v>SPEAKER</v>
      </c>
      <c r="K8" s="33">
        <f>INDEX($F$6:$F$21,$I8)</f>
        <v>47.21</v>
      </c>
      <c r="L8" s="31">
        <f>IF(M8="","", ROUND(K8,0))</f>
        <v>47</v>
      </c>
      <c r="M8" t="str">
        <f>IF(J8="","", UPPER(J8) &amp; " TOTAL")</f>
        <v>SPEAKER TOTAL</v>
      </c>
    </row>
    <row r="9" spans="1:13" x14ac:dyDescent="0.3">
      <c r="E9" s="19" t="str">
        <f t="array" ref="E9">IFERROR(INDEX(List[Component type],MATCH(,COUNTIF($E$5:E8,List[Component type]),)),"")</f>
        <v>SPEAKER</v>
      </c>
      <c r="F9">
        <f>SUMIFS(List[TOTAL],List[Component type],E9)</f>
        <v>47.21</v>
      </c>
      <c r="G9">
        <f t="shared" si="0"/>
        <v>47.210008999999999</v>
      </c>
      <c r="H9">
        <f>LARGE($G$6:$G$21,4)</f>
        <v>38.280011000000002</v>
      </c>
      <c r="I9">
        <f>MATCH(H9,$G$6:$G$21,0)</f>
        <v>6</v>
      </c>
      <c r="J9" t="str">
        <f>INDEX($E$6:$E$21,$I9)</f>
        <v>BATTERY HOLDER</v>
      </c>
      <c r="K9" s="33">
        <f>INDEX($F$6:$F$21,$I9)</f>
        <v>38.28</v>
      </c>
      <c r="L9" s="31">
        <f>IF(M9="","", ROUND(K9,0))</f>
        <v>38</v>
      </c>
      <c r="M9" t="str">
        <f>IF(J9="","", UPPER(J9) &amp; " TOTAL")</f>
        <v>BATTERY HOLDER TOTAL</v>
      </c>
    </row>
    <row r="10" spans="1:13" x14ac:dyDescent="0.3">
      <c r="E10" s="19" t="str">
        <f t="array" ref="E10">IFERROR(INDEX(List[Component type],MATCH(,COUNTIF($E$5:E9,List[Component type]),)),"")</f>
        <v>IC</v>
      </c>
      <c r="F10">
        <f>SUMIFS(List[TOTAL],List[Component type],E10)</f>
        <v>90.009999999999991</v>
      </c>
      <c r="G10">
        <f t="shared" si="0"/>
        <v>90.010009999999994</v>
      </c>
      <c r="H10">
        <f>LARGE($G$6:$G$21,5)</f>
        <v>21.000007</v>
      </c>
      <c r="I10">
        <f>MATCH(H10,$G$6:$G$21,0)</f>
        <v>2</v>
      </c>
      <c r="J10" t="str">
        <f>INDEX($E$6:$E$21,$I10)</f>
        <v>CONNECTOR</v>
      </c>
      <c r="K10" s="33">
        <f>INDEX($F$6:$F$21,$I10)</f>
        <v>21</v>
      </c>
      <c r="L10" s="31">
        <f>IF(M10="","", ROUND(K10,0))</f>
        <v>21</v>
      </c>
      <c r="M10" t="str">
        <f>IF(J10="","", UPPER(J10) &amp; " TOTAL")</f>
        <v>CONNECTOR TOTAL</v>
      </c>
    </row>
    <row r="11" spans="1:13" x14ac:dyDescent="0.3">
      <c r="E11" s="19" t="str">
        <f t="array" ref="E11">IFERROR(INDEX(List[Component type],MATCH(,COUNTIF($E$5:E10,List[Component type]),)),"")</f>
        <v>BATTERY HOLDER</v>
      </c>
      <c r="F11">
        <f>SUMIFS(List[TOTAL],List[Component type],E11)</f>
        <v>38.28</v>
      </c>
      <c r="G11">
        <f t="shared" si="0"/>
        <v>38.280011000000002</v>
      </c>
      <c r="H11">
        <f>LARGE($G$6:$G$21,6)</f>
        <v>2.0999999999999999E-5</v>
      </c>
      <c r="I11">
        <f>MATCH(H11,$G$6:$G$21,0)</f>
        <v>16</v>
      </c>
      <c r="J11" t="str">
        <f>INDEX($E$6:$E$21,$I11)</f>
        <v/>
      </c>
      <c r="K11" s="33">
        <f>INDEX($F$6:$F$21,$I11)</f>
        <v>0</v>
      </c>
      <c r="L11" s="31" t="str">
        <f>IF(M11="","", ROUND(K11,0))</f>
        <v/>
      </c>
      <c r="M11" t="str">
        <f>IF(J11="","", UPPER(J11) &amp; " TOTAL")</f>
        <v/>
      </c>
    </row>
    <row r="12" spans="1:13" x14ac:dyDescent="0.3">
      <c r="E12" s="19" t="str">
        <f t="array" ref="E12">IFERROR(INDEX(List[Component type],MATCH(,COUNTIF($E$5:E11,List[Component type]),)),"")</f>
        <v/>
      </c>
      <c r="F12">
        <f>SUMIFS(List[TOTAL],List[Component type],E12)</f>
        <v>0</v>
      </c>
      <c r="G12">
        <f t="shared" si="0"/>
        <v>1.2E-5</v>
      </c>
      <c r="K12" s="33"/>
      <c r="L12" s="33"/>
    </row>
    <row r="13" spans="1:13" x14ac:dyDescent="0.3">
      <c r="E13" s="19" t="str">
        <f t="array" ref="E13">IFERROR(INDEX(List[Component type],MATCH(,COUNTIF($E$5:E12,List[Component type]),)),"")</f>
        <v/>
      </c>
      <c r="F13">
        <f>SUMIFS(List[TOTAL],List[Component type],E13)</f>
        <v>0</v>
      </c>
      <c r="G13">
        <f t="shared" si="0"/>
        <v>1.2999999999999999E-5</v>
      </c>
      <c r="K13" s="33"/>
      <c r="L13" s="33"/>
    </row>
    <row r="14" spans="1:13" x14ac:dyDescent="0.3">
      <c r="E14" s="19" t="str">
        <f t="array" ref="E14">IFERROR(INDEX(List[Component type],MATCH(,COUNTIF($E$5:E13,List[Component type]),)),"")</f>
        <v/>
      </c>
      <c r="F14">
        <f>SUMIFS(List[TOTAL],List[Component type],E14)</f>
        <v>0</v>
      </c>
      <c r="G14">
        <f t="shared" si="0"/>
        <v>1.4E-5</v>
      </c>
      <c r="K14" s="33"/>
      <c r="L14" s="33"/>
    </row>
    <row r="15" spans="1:13" x14ac:dyDescent="0.3">
      <c r="E15" s="19" t="str">
        <f t="array" ref="E15">IFERROR(INDEX(List[Component type],MATCH(,COUNTIF($E$5:E14,List[Component type]),)),"")</f>
        <v/>
      </c>
      <c r="F15">
        <f>SUMIFS(List[TOTAL],List[Component type],E15)</f>
        <v>0</v>
      </c>
      <c r="G15">
        <f t="shared" si="0"/>
        <v>1.5E-5</v>
      </c>
      <c r="K15" s="33"/>
      <c r="L15" s="33"/>
    </row>
    <row r="16" spans="1:13" x14ac:dyDescent="0.3">
      <c r="E16" s="19" t="str">
        <f t="array" ref="E16">IFERROR(INDEX(List[Component type],MATCH(,COUNTIF($E$5:E15,List[Component type]),)),"")</f>
        <v/>
      </c>
      <c r="F16">
        <f>SUMIFS(List[TOTAL],List[Component type],E16)</f>
        <v>0</v>
      </c>
      <c r="G16">
        <f t="shared" si="0"/>
        <v>1.5999999999999999E-5</v>
      </c>
      <c r="K16" s="33"/>
      <c r="L16" s="33"/>
    </row>
    <row r="17" spans="5:12" x14ac:dyDescent="0.3">
      <c r="E17" s="19" t="str">
        <f t="array" ref="E17">IFERROR(INDEX(List[Component type],MATCH(,COUNTIF($E$5:E16,List[Component type]),)),"")</f>
        <v/>
      </c>
      <c r="F17">
        <f>SUMIFS(List[TOTAL],List[Component type],E17)</f>
        <v>0</v>
      </c>
      <c r="G17">
        <f t="shared" si="0"/>
        <v>1.7E-5</v>
      </c>
      <c r="K17" s="33"/>
      <c r="L17" s="33"/>
    </row>
    <row r="18" spans="5:12" x14ac:dyDescent="0.3">
      <c r="E18" s="19" t="str">
        <f t="array" ref="E18">IFERROR(INDEX(List[Component type],MATCH(,COUNTIF($E$5:E17,List[Component type]),)),"")</f>
        <v/>
      </c>
      <c r="F18">
        <f>SUMIFS(List[TOTAL],List[Component type],E18)</f>
        <v>0</v>
      </c>
      <c r="G18">
        <f t="shared" si="0"/>
        <v>1.8E-5</v>
      </c>
      <c r="K18" s="33"/>
      <c r="L18" s="33"/>
    </row>
    <row r="19" spans="5:12" x14ac:dyDescent="0.3">
      <c r="E19" s="19" t="str">
        <f t="array" ref="E19">IFERROR(INDEX(List[Component type],MATCH(,COUNTIF($E$5:E18,List[Component type]),)),"")</f>
        <v/>
      </c>
      <c r="F19">
        <f>SUMIFS(List[TOTAL],List[Component type],E19)</f>
        <v>0</v>
      </c>
      <c r="G19">
        <f t="shared" si="0"/>
        <v>1.9000000000000001E-5</v>
      </c>
      <c r="K19" s="33"/>
      <c r="L19" s="33"/>
    </row>
    <row r="20" spans="5:12" x14ac:dyDescent="0.3">
      <c r="E20" s="19" t="str">
        <f t="array" ref="E20">IFERROR(INDEX(List[Component type],MATCH(,COUNTIF($E$5:E19,List[Component type]),)),"")</f>
        <v/>
      </c>
      <c r="F20">
        <f>SUMIFS(List[TOTAL],List[Component type],E20)</f>
        <v>0</v>
      </c>
      <c r="G20">
        <f t="shared" si="0"/>
        <v>2.0000000000000002E-5</v>
      </c>
      <c r="K20" s="33"/>
      <c r="L20" s="33"/>
    </row>
    <row r="21" spans="5:12" x14ac:dyDescent="0.3">
      <c r="E21" s="19" t="str">
        <f t="array" ref="E21">IFERROR(INDEX(List[Component type],MATCH(,COUNTIF($E$5:E20,List[Component type]),)),"")</f>
        <v/>
      </c>
      <c r="F21">
        <f>SUMIFS(List[TOTAL],List[Component type],E21)</f>
        <v>0</v>
      </c>
      <c r="G21">
        <f t="shared" si="0"/>
        <v>2.0999999999999999E-5</v>
      </c>
      <c r="K21" s="33"/>
      <c r="L21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3441D-961E-434B-A0B9-C5DC7DCDC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76F5DF-2187-43F0-A4D5-50FB68AE13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C35520D-4C4C-45AD-BACF-23380C2DC1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TM03427477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Grocery list</vt:lpstr>
      <vt:lpstr>calculations</vt:lpstr>
      <vt:lpstr>GroceryTotal</vt:lpstr>
      <vt:lpstr>'Grocery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2023-09-09T03:24:18Z</dcterms:created>
  <dcterms:modified xsi:type="dcterms:W3CDTF">2026-03-08T13:07:48Z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