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ngeniørprosjekt_III\IELS2003_PCB\nRF_beacon\"/>
    </mc:Choice>
  </mc:AlternateContent>
  <xr:revisionPtr revIDLastSave="0" documentId="8_{FFF30F58-A25C-4F3B-A6C7-52B1F0BC4AB3}" xr6:coauthVersionLast="47" xr6:coauthVersionMax="47" xr10:uidLastSave="{00000000-0000-0000-0000-000000000000}"/>
  <bookViews>
    <workbookView xWindow="-120" yWindow="-120" windowWidth="29040" windowHeight="15840" xr2:uid="{9959DA50-923A-49EC-AD0C-E8A95DD85175}"/>
  </bookViews>
  <sheets>
    <sheet name="nRF_beacon" sheetId="1" r:id="rId1"/>
  </sheets>
  <calcPr calcId="0"/>
</workbook>
</file>

<file path=xl/calcChain.xml><?xml version="1.0" encoding="utf-8"?>
<calcChain xmlns="http://schemas.openxmlformats.org/spreadsheetml/2006/main">
  <c r="G51" i="1" l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3" i="1"/>
  <c r="F51" i="1"/>
</calcChain>
</file>

<file path=xl/sharedStrings.xml><?xml version="1.0" encoding="utf-8"?>
<sst xmlns="http://schemas.openxmlformats.org/spreadsheetml/2006/main" count="303" uniqueCount="181">
  <si>
    <t>Reference</t>
  </si>
  <si>
    <t>Qty</t>
  </si>
  <si>
    <t>Value</t>
  </si>
  <si>
    <t>MPN</t>
  </si>
  <si>
    <t>Exclude from BOM</t>
  </si>
  <si>
    <t>Footprint</t>
  </si>
  <si>
    <t>Datasheet</t>
  </si>
  <si>
    <t>AE1</t>
  </si>
  <si>
    <t>Antenna</t>
  </si>
  <si>
    <t>Excluded from BOM</t>
  </si>
  <si>
    <t>Ekse:PCB_Antenna</t>
  </si>
  <si>
    <t>~</t>
  </si>
  <si>
    <t>C1,C6</t>
  </si>
  <si>
    <t>2.2uF</t>
  </si>
  <si>
    <t>GRM033D80E225ME47D</t>
  </si>
  <si>
    <t>Capacitor_SMD:C_0201_0603Metric</t>
  </si>
  <si>
    <t>C2</t>
  </si>
  <si>
    <t>10uF</t>
  </si>
  <si>
    <t>KGM05CS60J106MH</t>
  </si>
  <si>
    <t>Capacitor_SMD:C_0402_1005Metric</t>
  </si>
  <si>
    <t>C3</t>
  </si>
  <si>
    <t>10nF</t>
  </si>
  <si>
    <t>GRM033R70J103JA01D</t>
  </si>
  <si>
    <t>C4,C8,C9,C10</t>
  </si>
  <si>
    <t>100nF</t>
  </si>
  <si>
    <t>KGM03AR70J104KH</t>
  </si>
  <si>
    <t>C5</t>
  </si>
  <si>
    <t>2.2nF</t>
  </si>
  <si>
    <t>GRM033R71A222KA01D</t>
  </si>
  <si>
    <t>C7</t>
  </si>
  <si>
    <t>3.9pF</t>
  </si>
  <si>
    <t>GCQ0335C1H3R9CB01D</t>
  </si>
  <si>
    <t>C11</t>
  </si>
  <si>
    <t>1.5pF</t>
  </si>
  <si>
    <t>GJM0335C1E1R5WB01J</t>
  </si>
  <si>
    <t>C12</t>
  </si>
  <si>
    <t>2.0pF</t>
  </si>
  <si>
    <t>GJM0335C1E2R0WB01D</t>
  </si>
  <si>
    <t>C13</t>
  </si>
  <si>
    <t>0.3pF</t>
  </si>
  <si>
    <t>GCQ0335C1HR30BB01D</t>
  </si>
  <si>
    <t>C14,C16,C17,C23,C24,C25</t>
  </si>
  <si>
    <t>KGM15CR51E106KT</t>
  </si>
  <si>
    <t>Capacitor_SMD:C_0603_1608Metric</t>
  </si>
  <si>
    <t>C15</t>
  </si>
  <si>
    <t>GRM188Z71C225KE43D</t>
  </si>
  <si>
    <t>C18,C21,C22</t>
  </si>
  <si>
    <t>0.1uF</t>
  </si>
  <si>
    <t>KGM03BR51E104KH</t>
  </si>
  <si>
    <t>C19,C20</t>
  </si>
  <si>
    <t>220pF</t>
  </si>
  <si>
    <t>C0603C221J5RACTM</t>
  </si>
  <si>
    <t>C26</t>
  </si>
  <si>
    <t>1.4pF</t>
  </si>
  <si>
    <t>GCQ0335C1H1R4WB01D</t>
  </si>
  <si>
    <t>D1</t>
  </si>
  <si>
    <t>LED_RGBA</t>
  </si>
  <si>
    <t>APGF1012GBRC-07</t>
  </si>
  <si>
    <t>Ekse:APGF1012GBRC07</t>
  </si>
  <si>
    <t>FB1</t>
  </si>
  <si>
    <t>MMZ0603Y121CT000</t>
  </si>
  <si>
    <t>Inductor_SMD:L_0201_0603Metric</t>
  </si>
  <si>
    <t>FB2,FB3</t>
  </si>
  <si>
    <t>BLM21SP102SN1D</t>
  </si>
  <si>
    <t>Capacitor_SMD:C_0805_2012Metric</t>
  </si>
  <si>
    <t>H1,H2,H3,H4</t>
  </si>
  <si>
    <t>MountingHole</t>
  </si>
  <si>
    <t>MountingHole:MountingHole_3.2mm_M3</t>
  </si>
  <si>
    <t>J1</t>
  </si>
  <si>
    <t>Conn_02x05_Odd_Even</t>
  </si>
  <si>
    <t>FTSH-105-01-F-DV-K-P</t>
  </si>
  <si>
    <t>Ekse:FTSH-105-XX-YYY-DV-K-P-TR</t>
  </si>
  <si>
    <t>J2</t>
  </si>
  <si>
    <t>Conn_02x03_Counter_Clockwise</t>
  </si>
  <si>
    <t>Connector_PinHeader_2.54mm:PinHeader_2x06_P2.54mm_Vertical</t>
  </si>
  <si>
    <t>L1</t>
  </si>
  <si>
    <t>4.7uH</t>
  </si>
  <si>
    <t>LQM18PN4R7MFRL</t>
  </si>
  <si>
    <t>Inductor_SMD:L_0603_1608Metric</t>
  </si>
  <si>
    <t>L2</t>
  </si>
  <si>
    <t>2.7nH</t>
  </si>
  <si>
    <t>LQP03HQ2N7B02D</t>
  </si>
  <si>
    <t>L3,L4</t>
  </si>
  <si>
    <t>3.5nH</t>
  </si>
  <si>
    <t>LQP03HQ3N5B02D</t>
  </si>
  <si>
    <t>L5,L6</t>
  </si>
  <si>
    <t>2.2uH</t>
  </si>
  <si>
    <t>MLP2016V2R2MT0S1</t>
  </si>
  <si>
    <t>Ekse:INDC2016X100N</t>
  </si>
  <si>
    <t>LS1</t>
  </si>
  <si>
    <t>AS07104PO-R</t>
  </si>
  <si>
    <t>Ekse:VN02A1500000G</t>
  </si>
  <si>
    <t>R1</t>
  </si>
  <si>
    <t>634k</t>
  </si>
  <si>
    <t>CRCW0603634KDHTAP</t>
  </si>
  <si>
    <t>Resistor_SMD:R_0603_1608Metric</t>
  </si>
  <si>
    <t>R2</t>
  </si>
  <si>
    <t>1k</t>
  </si>
  <si>
    <t>RCA02011K00FNEDSR</t>
  </si>
  <si>
    <t>Resistor_SMD:R_0201_0603Metric</t>
  </si>
  <si>
    <t>R3,R4</t>
  </si>
  <si>
    <t>10k</t>
  </si>
  <si>
    <t>CRCW040210K0FHEDP</t>
  </si>
  <si>
    <t>Resistor_SMD:R_0402_1005Metric</t>
  </si>
  <si>
    <t>R5,R6</t>
  </si>
  <si>
    <t>150k</t>
  </si>
  <si>
    <t>CRCW0201150KFKED</t>
  </si>
  <si>
    <t>TP1</t>
  </si>
  <si>
    <t>VDD_nRF</t>
  </si>
  <si>
    <t>TestPoint:TestPoint_Pad_D1.0mm</t>
  </si>
  <si>
    <t>TP3</t>
  </si>
  <si>
    <t>DECA</t>
  </si>
  <si>
    <t>TP4</t>
  </si>
  <si>
    <t>SWDIO</t>
  </si>
  <si>
    <t>TP5</t>
  </si>
  <si>
    <t>SWDCLK</t>
  </si>
  <si>
    <t>TP6</t>
  </si>
  <si>
    <t>~{RESET}</t>
  </si>
  <si>
    <t>TP8</t>
  </si>
  <si>
    <t>VSYS</t>
  </si>
  <si>
    <t>TP9</t>
  </si>
  <si>
    <t>GND</t>
  </si>
  <si>
    <t>TP10</t>
  </si>
  <si>
    <t>VDD_AUDIO</t>
  </si>
  <si>
    <t>TP11</t>
  </si>
  <si>
    <t>SDA</t>
  </si>
  <si>
    <t>TP12</t>
  </si>
  <si>
    <t>SCL</t>
  </si>
  <si>
    <t>TP13</t>
  </si>
  <si>
    <t>BCLK</t>
  </si>
  <si>
    <t>TP14</t>
  </si>
  <si>
    <t>DOUT</t>
  </si>
  <si>
    <t>TP15</t>
  </si>
  <si>
    <t>LRCLK</t>
  </si>
  <si>
    <t>U1</t>
  </si>
  <si>
    <t>nRF54L15-QFAA</t>
  </si>
  <si>
    <t>NRF54L15-QFAA-R7</t>
  </si>
  <si>
    <t>Ekse:QFN-48_EP_6x6_Pitch0.4mm</t>
  </si>
  <si>
    <t>U2</t>
  </si>
  <si>
    <t>NPM1300-QEAA-R7</t>
  </si>
  <si>
    <t>Ekse:QFN-32_EP_5x5_Pitch0.5mm</t>
  </si>
  <si>
    <t>https://docs.nordicsemi.com/bundle/nwp_050/page/WP/nwp_050/intro.html</t>
  </si>
  <si>
    <t>U3</t>
  </si>
  <si>
    <t>MAX98357A</t>
  </si>
  <si>
    <t>MAX98357AETE+T</t>
  </si>
  <si>
    <t>Ekse:TQFN-16-1EP_3x3mm_P0.5mm_EP1.6x1.6mm</t>
  </si>
  <si>
    <t>https://www.analog.com/media/en/technical-documentation/data-sheets/max98357a-max98357b.pdf</t>
  </si>
  <si>
    <t>U4</t>
  </si>
  <si>
    <t>12BHC186P1-GR</t>
  </si>
  <si>
    <t>Ekse:12BHC186P1GR</t>
  </si>
  <si>
    <t>https://www.mouser.co.il/datasheet/2/209/EaglePlastics_EPD_201001-1902272.pdf</t>
  </si>
  <si>
    <t>X1</t>
  </si>
  <si>
    <t>32MHz</t>
  </si>
  <si>
    <t>CX2016DB32000D0WZRC1</t>
  </si>
  <si>
    <t>Ekse:CX2016DB32000D0WZRC1</t>
  </si>
  <si>
    <t>X2</t>
  </si>
  <si>
    <t>32.768 kHz</t>
  </si>
  <si>
    <t>CM8V-T1A-32.768kHz-9pF-20PPM-TB-QC</t>
  </si>
  <si>
    <t>Crystal:Crystal_SMD_2012-2Pin_2.0x1.2mm</t>
  </si>
  <si>
    <t>0201</t>
  </si>
  <si>
    <t>0402</t>
  </si>
  <si>
    <t>0603</t>
  </si>
  <si>
    <t>1012</t>
  </si>
  <si>
    <t>0805</t>
  </si>
  <si>
    <t>105</t>
  </si>
  <si>
    <t>P2.54mm</t>
  </si>
  <si>
    <t>2016</t>
  </si>
  <si>
    <t>02</t>
  </si>
  <si>
    <t>12</t>
  </si>
  <si>
    <t>2012-2Pin</t>
  </si>
  <si>
    <t>3.2mm</t>
  </si>
  <si>
    <t>Pad</t>
  </si>
  <si>
    <t>Component size</t>
  </si>
  <si>
    <t>5x5mm P0.5mm</t>
  </si>
  <si>
    <t>6x6mm P0.4mm</t>
  </si>
  <si>
    <t>3x3mm P0.5mm</t>
  </si>
  <si>
    <t>Bestilling av 5+ deler vil gi mindre per stk pris</t>
  </si>
  <si>
    <t>Kommentar</t>
  </si>
  <si>
    <t>Price per component</t>
  </si>
  <si>
    <t>Price total</t>
  </si>
  <si>
    <t>Total price per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</si>
</sst>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kr-414]\ * #,##0.00_-;\-[$kr-414]\ * #,##0.00_-;_-[$kr-414]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8565-51B3-42B5-A933-3925382D75D8}">
  <dimension ref="A1:K52"/>
  <sheetViews>
    <sheetView tabSelected="1" topLeftCell="A22" workbookViewId="0">
      <selection activeCell="E26" sqref="E26"/>
    </sheetView>
  </sheetViews>
  <sheetFormatPr defaultRowHeight="15" x14ac:dyDescent="0.25"/>
  <cols>
    <col min="1" max="2" width="29.7109375" customWidth="1"/>
    <col min="3" max="3" width="19.42578125" customWidth="1"/>
    <col min="4" max="4" width="29.5703125" customWidth="1"/>
    <col min="5" max="5" width="40.7109375" customWidth="1"/>
    <col min="6" max="6" width="21" style="1" customWidth="1"/>
    <col min="7" max="7" width="13.5703125" style="1" customWidth="1"/>
    <col min="8" max="8" width="16.140625" customWidth="1"/>
    <col min="9" max="9" width="21.85546875" customWidth="1"/>
    <col min="10" max="10" width="62.85546875" customWidth="1"/>
  </cols>
  <sheetData>
    <row r="1" spans="1:11" x14ac:dyDescent="0.25">
      <c r="A1" t="s">
        <v>0</v>
      </c>
      <c r="B1" t="s">
        <v>177</v>
      </c>
      <c r="C1" t="s">
        <v>1</v>
      </c>
      <c r="D1" t="s">
        <v>2</v>
      </c>
      <c r="E1" t="s">
        <v>3</v>
      </c>
      <c r="F1" s="1" t="s">
        <v>178</v>
      </c>
      <c r="G1" s="1" t="s">
        <v>179</v>
      </c>
      <c r="H1" t="s">
        <v>172</v>
      </c>
      <c r="I1" t="s">
        <v>4</v>
      </c>
      <c r="J1" t="s">
        <v>5</v>
      </c>
      <c r="K1" t="s">
        <v>6</v>
      </c>
    </row>
    <row r="2" spans="1:11" x14ac:dyDescent="0.25">
      <c r="A2" t="s">
        <v>7</v>
      </c>
      <c r="C2">
        <v>1</v>
      </c>
      <c r="D2" t="s">
        <v>8</v>
      </c>
      <c r="G2" s="1">
        <f>C2*F2</f>
        <v>0</v>
      </c>
      <c r="H2" s="2"/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C3">
        <v>2</v>
      </c>
      <c r="D3" t="s">
        <v>13</v>
      </c>
      <c r="E3" t="s">
        <v>14</v>
      </c>
      <c r="F3" s="1">
        <v>1.1000000000000001</v>
      </c>
      <c r="G3" s="1">
        <f>C3*F3</f>
        <v>2.2000000000000002</v>
      </c>
      <c r="H3" s="2" t="s">
        <v>159</v>
      </c>
      <c r="J3" t="s">
        <v>15</v>
      </c>
      <c r="K3" t="s">
        <v>11</v>
      </c>
    </row>
    <row r="4" spans="1:11" x14ac:dyDescent="0.25">
      <c r="A4" t="s">
        <v>16</v>
      </c>
      <c r="C4">
        <v>1</v>
      </c>
      <c r="D4" t="s">
        <v>17</v>
      </c>
      <c r="E4" t="s">
        <v>18</v>
      </c>
      <c r="F4" s="1">
        <v>3.19</v>
      </c>
      <c r="G4" s="1">
        <f t="shared" ref="G4:G51" si="0">C4*F4</f>
        <v>3.19</v>
      </c>
      <c r="H4" s="2" t="s">
        <v>160</v>
      </c>
      <c r="J4" t="s">
        <v>19</v>
      </c>
      <c r="K4" t="s">
        <v>11</v>
      </c>
    </row>
    <row r="5" spans="1:11" x14ac:dyDescent="0.25">
      <c r="A5" t="s">
        <v>20</v>
      </c>
      <c r="C5">
        <v>1</v>
      </c>
      <c r="D5" t="s">
        <v>21</v>
      </c>
      <c r="E5" t="s">
        <v>22</v>
      </c>
      <c r="F5" s="1">
        <v>0.998</v>
      </c>
      <c r="G5" s="1">
        <f t="shared" si="0"/>
        <v>0.998</v>
      </c>
      <c r="H5" s="2" t="s">
        <v>159</v>
      </c>
      <c r="J5" t="s">
        <v>15</v>
      </c>
      <c r="K5" t="s">
        <v>11</v>
      </c>
    </row>
    <row r="6" spans="1:11" x14ac:dyDescent="0.25">
      <c r="A6" t="s">
        <v>23</v>
      </c>
      <c r="C6">
        <v>4</v>
      </c>
      <c r="D6" t="s">
        <v>24</v>
      </c>
      <c r="E6" t="s">
        <v>25</v>
      </c>
      <c r="F6" s="1">
        <v>3.6</v>
      </c>
      <c r="G6" s="1">
        <f t="shared" si="0"/>
        <v>14.4</v>
      </c>
      <c r="H6" s="2" t="s">
        <v>159</v>
      </c>
      <c r="J6" t="s">
        <v>15</v>
      </c>
      <c r="K6" t="s">
        <v>11</v>
      </c>
    </row>
    <row r="7" spans="1:11" x14ac:dyDescent="0.25">
      <c r="A7" t="s">
        <v>26</v>
      </c>
      <c r="C7">
        <v>1</v>
      </c>
      <c r="D7" t="s">
        <v>27</v>
      </c>
      <c r="E7" t="s">
        <v>28</v>
      </c>
      <c r="F7" s="1">
        <v>0.998</v>
      </c>
      <c r="G7" s="1">
        <f t="shared" si="0"/>
        <v>0.998</v>
      </c>
      <c r="H7" s="2" t="s">
        <v>159</v>
      </c>
      <c r="J7" t="s">
        <v>15</v>
      </c>
      <c r="K7" t="s">
        <v>11</v>
      </c>
    </row>
    <row r="8" spans="1:11" x14ac:dyDescent="0.25">
      <c r="A8" t="s">
        <v>29</v>
      </c>
      <c r="C8">
        <v>1</v>
      </c>
      <c r="D8" t="s">
        <v>30</v>
      </c>
      <c r="E8" t="s">
        <v>31</v>
      </c>
      <c r="F8" s="1">
        <v>1.19</v>
      </c>
      <c r="G8" s="1">
        <f t="shared" si="0"/>
        <v>1.19</v>
      </c>
      <c r="H8" s="2" t="s">
        <v>159</v>
      </c>
      <c r="J8" t="s">
        <v>15</v>
      </c>
      <c r="K8" t="s">
        <v>11</v>
      </c>
    </row>
    <row r="9" spans="1:11" x14ac:dyDescent="0.25">
      <c r="A9" t="s">
        <v>32</v>
      </c>
      <c r="C9">
        <v>1</v>
      </c>
      <c r="D9" t="s">
        <v>33</v>
      </c>
      <c r="E9" t="s">
        <v>34</v>
      </c>
      <c r="F9" s="1">
        <v>0.998</v>
      </c>
      <c r="G9" s="1">
        <f t="shared" si="0"/>
        <v>0.998</v>
      </c>
      <c r="H9" s="2" t="s">
        <v>159</v>
      </c>
      <c r="J9" t="s">
        <v>15</v>
      </c>
      <c r="K9" t="s">
        <v>11</v>
      </c>
    </row>
    <row r="10" spans="1:11" x14ac:dyDescent="0.25">
      <c r="A10" t="s">
        <v>35</v>
      </c>
      <c r="C10">
        <v>1</v>
      </c>
      <c r="D10" t="s">
        <v>36</v>
      </c>
      <c r="E10" t="s">
        <v>37</v>
      </c>
      <c r="F10" s="1">
        <v>1.19</v>
      </c>
      <c r="G10" s="1">
        <f t="shared" si="0"/>
        <v>1.19</v>
      </c>
      <c r="H10" s="2" t="s">
        <v>159</v>
      </c>
      <c r="J10" t="s">
        <v>15</v>
      </c>
      <c r="K10" t="s">
        <v>11</v>
      </c>
    </row>
    <row r="11" spans="1:11" x14ac:dyDescent="0.25">
      <c r="A11" t="s">
        <v>38</v>
      </c>
      <c r="C11">
        <v>1</v>
      </c>
      <c r="D11" t="s">
        <v>39</v>
      </c>
      <c r="E11" t="s">
        <v>40</v>
      </c>
      <c r="F11" s="1">
        <v>1.19</v>
      </c>
      <c r="G11" s="1">
        <f t="shared" si="0"/>
        <v>1.19</v>
      </c>
      <c r="H11" s="2" t="s">
        <v>159</v>
      </c>
      <c r="J11" t="s">
        <v>15</v>
      </c>
      <c r="K11" t="s">
        <v>11</v>
      </c>
    </row>
    <row r="12" spans="1:11" x14ac:dyDescent="0.25">
      <c r="A12" t="s">
        <v>41</v>
      </c>
      <c r="C12">
        <v>6</v>
      </c>
      <c r="D12" t="s">
        <v>17</v>
      </c>
      <c r="E12" t="s">
        <v>42</v>
      </c>
      <c r="F12" s="1">
        <v>5.09</v>
      </c>
      <c r="G12" s="1">
        <f t="shared" si="0"/>
        <v>30.54</v>
      </c>
      <c r="H12" s="2" t="s">
        <v>161</v>
      </c>
      <c r="J12" t="s">
        <v>43</v>
      </c>
      <c r="K12" t="s">
        <v>11</v>
      </c>
    </row>
    <row r="13" spans="1:11" x14ac:dyDescent="0.25">
      <c r="A13" t="s">
        <v>44</v>
      </c>
      <c r="C13">
        <v>1</v>
      </c>
      <c r="D13" t="s">
        <v>13</v>
      </c>
      <c r="E13" t="s">
        <v>45</v>
      </c>
      <c r="F13" s="1">
        <v>1.6</v>
      </c>
      <c r="G13" s="1">
        <f t="shared" si="0"/>
        <v>1.6</v>
      </c>
      <c r="H13" s="2" t="s">
        <v>161</v>
      </c>
      <c r="J13" t="s">
        <v>43</v>
      </c>
      <c r="K13" t="s">
        <v>11</v>
      </c>
    </row>
    <row r="14" spans="1:11" x14ac:dyDescent="0.25">
      <c r="A14" t="s">
        <v>46</v>
      </c>
      <c r="C14">
        <v>3</v>
      </c>
      <c r="D14" t="s">
        <v>47</v>
      </c>
      <c r="E14" t="s">
        <v>48</v>
      </c>
      <c r="F14" s="1">
        <v>1.39</v>
      </c>
      <c r="G14" s="1">
        <f t="shared" si="0"/>
        <v>4.17</v>
      </c>
      <c r="H14" s="2" t="s">
        <v>159</v>
      </c>
      <c r="J14" t="s">
        <v>15</v>
      </c>
      <c r="K14" t="s">
        <v>11</v>
      </c>
    </row>
    <row r="15" spans="1:11" x14ac:dyDescent="0.25">
      <c r="A15" t="s">
        <v>49</v>
      </c>
      <c r="C15">
        <v>2</v>
      </c>
      <c r="D15" t="s">
        <v>50</v>
      </c>
      <c r="E15" t="s">
        <v>51</v>
      </c>
      <c r="F15" s="1">
        <v>1.3</v>
      </c>
      <c r="G15" s="1">
        <f t="shared" si="0"/>
        <v>2.6</v>
      </c>
      <c r="H15" s="2" t="s">
        <v>161</v>
      </c>
      <c r="J15" t="s">
        <v>43</v>
      </c>
      <c r="K15" t="s">
        <v>11</v>
      </c>
    </row>
    <row r="16" spans="1:11" x14ac:dyDescent="0.25">
      <c r="A16" t="s">
        <v>52</v>
      </c>
      <c r="C16">
        <v>1</v>
      </c>
      <c r="D16" t="s">
        <v>53</v>
      </c>
      <c r="E16" t="s">
        <v>54</v>
      </c>
      <c r="F16" s="1">
        <v>1.8</v>
      </c>
      <c r="G16" s="1">
        <f t="shared" si="0"/>
        <v>1.8</v>
      </c>
      <c r="H16" s="2" t="s">
        <v>159</v>
      </c>
      <c r="J16" t="s">
        <v>15</v>
      </c>
      <c r="K16" t="s">
        <v>11</v>
      </c>
    </row>
    <row r="17" spans="1:11" x14ac:dyDescent="0.25">
      <c r="A17" t="s">
        <v>55</v>
      </c>
      <c r="C17">
        <v>1</v>
      </c>
      <c r="D17" t="s">
        <v>56</v>
      </c>
      <c r="E17" t="s">
        <v>57</v>
      </c>
      <c r="F17" s="1">
        <v>11.37</v>
      </c>
      <c r="G17" s="1">
        <f t="shared" si="0"/>
        <v>11.37</v>
      </c>
      <c r="H17" s="2" t="s">
        <v>162</v>
      </c>
      <c r="J17" t="s">
        <v>58</v>
      </c>
      <c r="K17" t="s">
        <v>11</v>
      </c>
    </row>
    <row r="18" spans="1:11" x14ac:dyDescent="0.25">
      <c r="A18" t="s">
        <v>59</v>
      </c>
      <c r="C18">
        <v>1</v>
      </c>
      <c r="D18">
        <v>120</v>
      </c>
      <c r="E18" t="s">
        <v>60</v>
      </c>
      <c r="F18" s="1">
        <v>1.3</v>
      </c>
      <c r="G18" s="1">
        <f t="shared" si="0"/>
        <v>1.3</v>
      </c>
      <c r="H18" s="2" t="s">
        <v>159</v>
      </c>
      <c r="J18" t="s">
        <v>61</v>
      </c>
      <c r="K18" t="s">
        <v>11</v>
      </c>
    </row>
    <row r="19" spans="1:11" x14ac:dyDescent="0.25">
      <c r="A19" t="s">
        <v>62</v>
      </c>
      <c r="C19">
        <v>2</v>
      </c>
      <c r="D19">
        <v>1000</v>
      </c>
      <c r="E19" t="s">
        <v>63</v>
      </c>
      <c r="F19" s="1">
        <v>2.99</v>
      </c>
      <c r="G19" s="1">
        <f t="shared" si="0"/>
        <v>5.98</v>
      </c>
      <c r="H19" s="2" t="s">
        <v>163</v>
      </c>
      <c r="J19" t="s">
        <v>64</v>
      </c>
      <c r="K19" t="s">
        <v>11</v>
      </c>
    </row>
    <row r="20" spans="1:11" x14ac:dyDescent="0.25">
      <c r="A20" t="s">
        <v>68</v>
      </c>
      <c r="C20">
        <v>1</v>
      </c>
      <c r="D20" t="s">
        <v>69</v>
      </c>
      <c r="E20" t="s">
        <v>70</v>
      </c>
      <c r="F20" s="1">
        <v>21</v>
      </c>
      <c r="G20" s="1">
        <f t="shared" si="0"/>
        <v>21</v>
      </c>
      <c r="H20" s="2" t="s">
        <v>164</v>
      </c>
      <c r="J20" t="s">
        <v>71</v>
      </c>
      <c r="K20" t="s">
        <v>11</v>
      </c>
    </row>
    <row r="21" spans="1:11" x14ac:dyDescent="0.25">
      <c r="A21" t="s">
        <v>72</v>
      </c>
      <c r="C21">
        <v>1</v>
      </c>
      <c r="D21" t="s">
        <v>73</v>
      </c>
      <c r="G21" s="1">
        <f t="shared" si="0"/>
        <v>0</v>
      </c>
      <c r="H21" s="2" t="s">
        <v>165</v>
      </c>
      <c r="I21" t="s">
        <v>9</v>
      </c>
      <c r="J21" t="s">
        <v>74</v>
      </c>
      <c r="K21" t="s">
        <v>11</v>
      </c>
    </row>
    <row r="22" spans="1:11" x14ac:dyDescent="0.25">
      <c r="A22" t="s">
        <v>75</v>
      </c>
      <c r="C22">
        <v>1</v>
      </c>
      <c r="D22" t="s">
        <v>76</v>
      </c>
      <c r="E22" t="s">
        <v>77</v>
      </c>
      <c r="F22" s="1">
        <v>1.69</v>
      </c>
      <c r="G22" s="1">
        <f t="shared" si="0"/>
        <v>1.69</v>
      </c>
      <c r="H22" s="2" t="s">
        <v>161</v>
      </c>
      <c r="J22" t="s">
        <v>78</v>
      </c>
      <c r="K22" t="s">
        <v>11</v>
      </c>
    </row>
    <row r="23" spans="1:11" x14ac:dyDescent="0.25">
      <c r="A23" t="s">
        <v>79</v>
      </c>
      <c r="C23">
        <v>1</v>
      </c>
      <c r="D23" t="s">
        <v>80</v>
      </c>
      <c r="E23" t="s">
        <v>81</v>
      </c>
      <c r="F23" s="1">
        <v>1.19</v>
      </c>
      <c r="G23" s="1">
        <f t="shared" si="0"/>
        <v>1.19</v>
      </c>
      <c r="H23" s="2" t="s">
        <v>159</v>
      </c>
      <c r="J23" t="s">
        <v>61</v>
      </c>
      <c r="K23" t="s">
        <v>11</v>
      </c>
    </row>
    <row r="24" spans="1:11" x14ac:dyDescent="0.25">
      <c r="A24" t="s">
        <v>82</v>
      </c>
      <c r="C24">
        <v>2</v>
      </c>
      <c r="D24" t="s">
        <v>83</v>
      </c>
      <c r="E24" t="s">
        <v>84</v>
      </c>
      <c r="F24" s="1">
        <v>1.19</v>
      </c>
      <c r="G24" s="1">
        <f t="shared" si="0"/>
        <v>2.38</v>
      </c>
      <c r="H24" s="2" t="s">
        <v>159</v>
      </c>
      <c r="J24" t="s">
        <v>61</v>
      </c>
      <c r="K24" t="s">
        <v>11</v>
      </c>
    </row>
    <row r="25" spans="1:11" x14ac:dyDescent="0.25">
      <c r="A25" t="s">
        <v>85</v>
      </c>
      <c r="C25">
        <v>2</v>
      </c>
      <c r="D25" t="s">
        <v>86</v>
      </c>
      <c r="E25" t="s">
        <v>87</v>
      </c>
      <c r="F25" s="1">
        <v>2.19</v>
      </c>
      <c r="G25" s="1">
        <f t="shared" si="0"/>
        <v>4.38</v>
      </c>
      <c r="H25" s="2" t="s">
        <v>166</v>
      </c>
      <c r="J25" t="s">
        <v>88</v>
      </c>
      <c r="K25" t="s">
        <v>11</v>
      </c>
    </row>
    <row r="26" spans="1:11" x14ac:dyDescent="0.25">
      <c r="A26" t="s">
        <v>89</v>
      </c>
      <c r="C26">
        <v>1</v>
      </c>
      <c r="D26" t="s">
        <v>90</v>
      </c>
      <c r="E26" t="s">
        <v>90</v>
      </c>
      <c r="F26" s="1">
        <v>47.21</v>
      </c>
      <c r="G26" s="1">
        <f t="shared" si="0"/>
        <v>47.21</v>
      </c>
      <c r="H26" s="2" t="s">
        <v>167</v>
      </c>
      <c r="J26" t="s">
        <v>91</v>
      </c>
      <c r="K26" t="s">
        <v>11</v>
      </c>
    </row>
    <row r="27" spans="1:11" x14ac:dyDescent="0.25">
      <c r="A27" t="s">
        <v>92</v>
      </c>
      <c r="C27">
        <v>1</v>
      </c>
      <c r="D27" t="s">
        <v>93</v>
      </c>
      <c r="E27" t="s">
        <v>94</v>
      </c>
      <c r="F27" s="1">
        <v>3.89</v>
      </c>
      <c r="G27" s="1">
        <f t="shared" si="0"/>
        <v>3.89</v>
      </c>
      <c r="H27" s="2" t="s">
        <v>161</v>
      </c>
      <c r="J27" t="s">
        <v>95</v>
      </c>
      <c r="K27" t="s">
        <v>11</v>
      </c>
    </row>
    <row r="28" spans="1:11" x14ac:dyDescent="0.25">
      <c r="A28" t="s">
        <v>96</v>
      </c>
      <c r="C28">
        <v>1</v>
      </c>
      <c r="D28" t="s">
        <v>97</v>
      </c>
      <c r="E28" t="s">
        <v>98</v>
      </c>
      <c r="F28" s="1">
        <v>0.998</v>
      </c>
      <c r="G28" s="1">
        <f t="shared" si="0"/>
        <v>0.998</v>
      </c>
      <c r="H28" s="2" t="s">
        <v>159</v>
      </c>
      <c r="J28" t="s">
        <v>99</v>
      </c>
      <c r="K28" t="s">
        <v>11</v>
      </c>
    </row>
    <row r="29" spans="1:11" x14ac:dyDescent="0.25">
      <c r="A29" t="s">
        <v>100</v>
      </c>
      <c r="C29">
        <v>2</v>
      </c>
      <c r="D29" t="s">
        <v>101</v>
      </c>
      <c r="E29" t="s">
        <v>102</v>
      </c>
      <c r="F29" s="1">
        <v>3.19</v>
      </c>
      <c r="G29" s="1">
        <f t="shared" si="0"/>
        <v>6.38</v>
      </c>
      <c r="H29" s="2" t="s">
        <v>160</v>
      </c>
      <c r="J29" t="s">
        <v>103</v>
      </c>
      <c r="K29" t="s">
        <v>11</v>
      </c>
    </row>
    <row r="30" spans="1:11" x14ac:dyDescent="0.25">
      <c r="A30" t="s">
        <v>104</v>
      </c>
      <c r="C30">
        <v>2</v>
      </c>
      <c r="D30" t="s">
        <v>105</v>
      </c>
      <c r="E30" t="s">
        <v>106</v>
      </c>
      <c r="F30" s="1">
        <v>2.1</v>
      </c>
      <c r="G30" s="1">
        <f t="shared" si="0"/>
        <v>4.2</v>
      </c>
      <c r="H30" s="2" t="s">
        <v>159</v>
      </c>
      <c r="J30" t="s">
        <v>99</v>
      </c>
      <c r="K30" t="s">
        <v>11</v>
      </c>
    </row>
    <row r="31" spans="1:11" x14ac:dyDescent="0.25">
      <c r="A31" t="s">
        <v>134</v>
      </c>
      <c r="C31">
        <v>1</v>
      </c>
      <c r="D31" t="s">
        <v>135</v>
      </c>
      <c r="E31" t="s">
        <v>136</v>
      </c>
      <c r="F31" s="1">
        <v>23.08</v>
      </c>
      <c r="G31" s="1">
        <f t="shared" si="0"/>
        <v>23.08</v>
      </c>
      <c r="H31" s="2" t="s">
        <v>174</v>
      </c>
      <c r="J31" t="s">
        <v>137</v>
      </c>
    </row>
    <row r="32" spans="1:11" x14ac:dyDescent="0.25">
      <c r="A32" t="s">
        <v>138</v>
      </c>
      <c r="C32">
        <v>1</v>
      </c>
      <c r="D32" t="s">
        <v>139</v>
      </c>
      <c r="E32" t="s">
        <v>139</v>
      </c>
      <c r="F32" s="1">
        <v>15.31</v>
      </c>
      <c r="G32" s="1">
        <f t="shared" si="0"/>
        <v>15.31</v>
      </c>
      <c r="H32" s="2" t="s">
        <v>173</v>
      </c>
      <c r="J32" t="s">
        <v>140</v>
      </c>
      <c r="K32" t="s">
        <v>141</v>
      </c>
    </row>
    <row r="33" spans="1:11" x14ac:dyDescent="0.25">
      <c r="A33" t="s">
        <v>142</v>
      </c>
      <c r="C33">
        <v>1</v>
      </c>
      <c r="D33" t="s">
        <v>143</v>
      </c>
      <c r="E33" t="s">
        <v>144</v>
      </c>
      <c r="F33" s="1">
        <v>51.62</v>
      </c>
      <c r="G33" s="1">
        <f t="shared" si="0"/>
        <v>51.62</v>
      </c>
      <c r="H33" s="2" t="s">
        <v>175</v>
      </c>
      <c r="J33" t="s">
        <v>145</v>
      </c>
      <c r="K33" t="s">
        <v>146</v>
      </c>
    </row>
    <row r="34" spans="1:11" x14ac:dyDescent="0.25">
      <c r="A34" t="s">
        <v>147</v>
      </c>
      <c r="C34">
        <v>1</v>
      </c>
      <c r="D34" t="s">
        <v>148</v>
      </c>
      <c r="E34" t="s">
        <v>148</v>
      </c>
      <c r="F34" s="1">
        <v>38.28</v>
      </c>
      <c r="G34" s="1">
        <f t="shared" si="0"/>
        <v>38.28</v>
      </c>
      <c r="H34" s="2" t="s">
        <v>168</v>
      </c>
      <c r="J34" t="s">
        <v>149</v>
      </c>
      <c r="K34" t="s">
        <v>150</v>
      </c>
    </row>
    <row r="35" spans="1:11" x14ac:dyDescent="0.25">
      <c r="A35" t="s">
        <v>151</v>
      </c>
      <c r="C35">
        <v>1</v>
      </c>
      <c r="D35" t="s">
        <v>152</v>
      </c>
      <c r="E35" t="s">
        <v>153</v>
      </c>
      <c r="F35" s="1">
        <v>6.59</v>
      </c>
      <c r="G35" s="1">
        <f t="shared" si="0"/>
        <v>6.59</v>
      </c>
      <c r="H35" s="2" t="s">
        <v>166</v>
      </c>
      <c r="J35" t="s">
        <v>154</v>
      </c>
      <c r="K35" t="s">
        <v>11</v>
      </c>
    </row>
    <row r="36" spans="1:11" x14ac:dyDescent="0.25">
      <c r="A36" t="s">
        <v>155</v>
      </c>
      <c r="C36">
        <v>1</v>
      </c>
      <c r="D36" t="s">
        <v>156</v>
      </c>
      <c r="E36" t="s">
        <v>157</v>
      </c>
      <c r="F36" s="1">
        <v>6.59</v>
      </c>
      <c r="G36" s="1">
        <f t="shared" si="0"/>
        <v>6.59</v>
      </c>
      <c r="H36" s="2" t="s">
        <v>169</v>
      </c>
      <c r="J36" t="s">
        <v>158</v>
      </c>
      <c r="K36" t="s">
        <v>11</v>
      </c>
    </row>
    <row r="37" spans="1:11" x14ac:dyDescent="0.25">
      <c r="A37" t="s">
        <v>65</v>
      </c>
      <c r="C37">
        <v>4</v>
      </c>
      <c r="D37" t="s">
        <v>66</v>
      </c>
      <c r="G37" s="1">
        <f t="shared" si="0"/>
        <v>0</v>
      </c>
      <c r="H37" s="2" t="s">
        <v>170</v>
      </c>
      <c r="I37" t="s">
        <v>9</v>
      </c>
      <c r="J37" t="s">
        <v>67</v>
      </c>
      <c r="K37" t="s">
        <v>11</v>
      </c>
    </row>
    <row r="38" spans="1:11" x14ac:dyDescent="0.25">
      <c r="A38" t="s">
        <v>107</v>
      </c>
      <c r="C38">
        <v>1</v>
      </c>
      <c r="D38" t="s">
        <v>108</v>
      </c>
      <c r="G38" s="1">
        <f t="shared" si="0"/>
        <v>0</v>
      </c>
      <c r="H38" s="2" t="s">
        <v>171</v>
      </c>
      <c r="I38" t="s">
        <v>9</v>
      </c>
      <c r="J38" t="s">
        <v>109</v>
      </c>
      <c r="K38" t="s">
        <v>11</v>
      </c>
    </row>
    <row r="39" spans="1:11" x14ac:dyDescent="0.25">
      <c r="A39" t="s">
        <v>110</v>
      </c>
      <c r="C39">
        <v>1</v>
      </c>
      <c r="D39" t="s">
        <v>111</v>
      </c>
      <c r="G39" s="1">
        <f t="shared" si="0"/>
        <v>0</v>
      </c>
      <c r="H39" s="2" t="s">
        <v>171</v>
      </c>
      <c r="I39" t="s">
        <v>9</v>
      </c>
      <c r="J39" t="s">
        <v>109</v>
      </c>
      <c r="K39" t="s">
        <v>11</v>
      </c>
    </row>
    <row r="40" spans="1:11" x14ac:dyDescent="0.25">
      <c r="A40" t="s">
        <v>112</v>
      </c>
      <c r="C40">
        <v>1</v>
      </c>
      <c r="D40" t="s">
        <v>113</v>
      </c>
      <c r="G40" s="1">
        <f t="shared" si="0"/>
        <v>0</v>
      </c>
      <c r="H40" s="2" t="s">
        <v>171</v>
      </c>
      <c r="I40" t="s">
        <v>9</v>
      </c>
      <c r="J40" t="s">
        <v>109</v>
      </c>
      <c r="K40" t="s">
        <v>11</v>
      </c>
    </row>
    <row r="41" spans="1:11" x14ac:dyDescent="0.25">
      <c r="A41" t="s">
        <v>114</v>
      </c>
      <c r="C41">
        <v>1</v>
      </c>
      <c r="D41" t="s">
        <v>115</v>
      </c>
      <c r="G41" s="1">
        <f t="shared" si="0"/>
        <v>0</v>
      </c>
      <c r="H41" s="2" t="s">
        <v>171</v>
      </c>
      <c r="I41" t="s">
        <v>9</v>
      </c>
      <c r="J41" t="s">
        <v>109</v>
      </c>
      <c r="K41" t="s">
        <v>11</v>
      </c>
    </row>
    <row r="42" spans="1:11" x14ac:dyDescent="0.25">
      <c r="A42" t="s">
        <v>116</v>
      </c>
      <c r="C42">
        <v>1</v>
      </c>
      <c r="D42" t="s">
        <v>117</v>
      </c>
      <c r="G42" s="1">
        <f t="shared" si="0"/>
        <v>0</v>
      </c>
      <c r="H42" s="2" t="s">
        <v>171</v>
      </c>
      <c r="I42" t="s">
        <v>9</v>
      </c>
      <c r="J42" t="s">
        <v>109</v>
      </c>
      <c r="K42" t="s">
        <v>11</v>
      </c>
    </row>
    <row r="43" spans="1:11" x14ac:dyDescent="0.25">
      <c r="A43" t="s">
        <v>118</v>
      </c>
      <c r="C43">
        <v>1</v>
      </c>
      <c r="D43" t="s">
        <v>119</v>
      </c>
      <c r="G43" s="1">
        <f t="shared" si="0"/>
        <v>0</v>
      </c>
      <c r="H43" s="2" t="s">
        <v>171</v>
      </c>
      <c r="I43" t="s">
        <v>9</v>
      </c>
      <c r="J43" t="s">
        <v>109</v>
      </c>
      <c r="K43" t="s">
        <v>11</v>
      </c>
    </row>
    <row r="44" spans="1:11" x14ac:dyDescent="0.25">
      <c r="A44" t="s">
        <v>120</v>
      </c>
      <c r="C44">
        <v>1</v>
      </c>
      <c r="D44" t="s">
        <v>121</v>
      </c>
      <c r="G44" s="1">
        <f t="shared" si="0"/>
        <v>0</v>
      </c>
      <c r="H44" s="2" t="s">
        <v>171</v>
      </c>
      <c r="I44" t="s">
        <v>9</v>
      </c>
      <c r="J44" t="s">
        <v>109</v>
      </c>
      <c r="K44" t="s">
        <v>11</v>
      </c>
    </row>
    <row r="45" spans="1:11" x14ac:dyDescent="0.25">
      <c r="A45" t="s">
        <v>122</v>
      </c>
      <c r="C45">
        <v>1</v>
      </c>
      <c r="D45" t="s">
        <v>123</v>
      </c>
      <c r="G45" s="1">
        <f t="shared" si="0"/>
        <v>0</v>
      </c>
      <c r="H45" s="2" t="s">
        <v>171</v>
      </c>
      <c r="I45" t="s">
        <v>9</v>
      </c>
      <c r="J45" t="s">
        <v>109</v>
      </c>
      <c r="K45" t="s">
        <v>11</v>
      </c>
    </row>
    <row r="46" spans="1:11" x14ac:dyDescent="0.25">
      <c r="A46" t="s">
        <v>124</v>
      </c>
      <c r="C46">
        <v>1</v>
      </c>
      <c r="D46" t="s">
        <v>125</v>
      </c>
      <c r="G46" s="1">
        <f t="shared" si="0"/>
        <v>0</v>
      </c>
      <c r="H46" s="2" t="s">
        <v>171</v>
      </c>
      <c r="I46" t="s">
        <v>9</v>
      </c>
      <c r="J46" t="s">
        <v>109</v>
      </c>
      <c r="K46" t="s">
        <v>11</v>
      </c>
    </row>
    <row r="47" spans="1:11" x14ac:dyDescent="0.25">
      <c r="A47" t="s">
        <v>126</v>
      </c>
      <c r="C47">
        <v>1</v>
      </c>
      <c r="D47" t="s">
        <v>127</v>
      </c>
      <c r="G47" s="1">
        <f t="shared" si="0"/>
        <v>0</v>
      </c>
      <c r="H47" s="2" t="s">
        <v>171</v>
      </c>
      <c r="I47" t="s">
        <v>9</v>
      </c>
      <c r="J47" t="s">
        <v>109</v>
      </c>
      <c r="K47" t="s">
        <v>11</v>
      </c>
    </row>
    <row r="48" spans="1:11" x14ac:dyDescent="0.25">
      <c r="A48" t="s">
        <v>128</v>
      </c>
      <c r="C48">
        <v>1</v>
      </c>
      <c r="D48" t="s">
        <v>129</v>
      </c>
      <c r="G48" s="1">
        <f t="shared" si="0"/>
        <v>0</v>
      </c>
      <c r="H48" s="2" t="s">
        <v>171</v>
      </c>
      <c r="I48" t="s">
        <v>9</v>
      </c>
      <c r="J48" t="s">
        <v>109</v>
      </c>
      <c r="K48" t="s">
        <v>11</v>
      </c>
    </row>
    <row r="49" spans="1:11" x14ac:dyDescent="0.25">
      <c r="A49" t="s">
        <v>130</v>
      </c>
      <c r="C49">
        <v>1</v>
      </c>
      <c r="D49" t="s">
        <v>131</v>
      </c>
      <c r="G49" s="1">
        <f t="shared" si="0"/>
        <v>0</v>
      </c>
      <c r="H49" s="2" t="s">
        <v>171</v>
      </c>
      <c r="I49" t="s">
        <v>9</v>
      </c>
      <c r="J49" t="s">
        <v>109</v>
      </c>
      <c r="K49" t="s">
        <v>11</v>
      </c>
    </row>
    <row r="50" spans="1:11" x14ac:dyDescent="0.25">
      <c r="A50" t="s">
        <v>132</v>
      </c>
      <c r="C50">
        <v>1</v>
      </c>
      <c r="D50" t="s">
        <v>133</v>
      </c>
      <c r="G50" s="1">
        <f t="shared" si="0"/>
        <v>0</v>
      </c>
      <c r="H50" s="2" t="s">
        <v>171</v>
      </c>
      <c r="I50" t="s">
        <v>9</v>
      </c>
      <c r="J50" t="s">
        <v>109</v>
      </c>
      <c r="K50" t="s">
        <v>11</v>
      </c>
    </row>
    <row r="51" spans="1:11" x14ac:dyDescent="0.25">
      <c r="E51" s="3" t="s">
        <v>180</v>
      </c>
      <c r="F51" s="1">
        <f>SUM(F3:F36)</f>
        <v>267.41199999999998</v>
      </c>
      <c r="G51" s="4">
        <f>SUM(G3:G50)</f>
        <v>320.50199999999995</v>
      </c>
    </row>
    <row r="52" spans="1:11" x14ac:dyDescent="0.25">
      <c r="E5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nRF_beacon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Ekse</dc:creator>
  <cp:lastModifiedBy>Mathias Espelund Ekse</cp:lastModifiedBy>
  <dcterms:created xsi:type="dcterms:W3CDTF">2026-03-08T12:01:07Z</dcterms:created>
  <dcterms:modified xsi:type="dcterms:W3CDTF">2026-03-08T12:01:07Z</dcterms:modified>
</cp:coreProperties>
</file>